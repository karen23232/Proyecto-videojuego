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 del proyecto" sheetId="1" r:id="rId5"/>
    <sheet state="visible" name="listas desplegables" sheetId="2" r:id="rId6"/>
  </sheets>
  <definedNames>
    <definedName name="Priority">#REF!</definedName>
    <definedName name="YesNo">'listas desplegables'!$B$5:$B$6</definedName>
    <definedName name="Status">'listas desplegables'!$D$5:$D$7</definedName>
  </definedNames>
  <calcPr/>
</workbook>
</file>

<file path=xl/sharedStrings.xml><?xml version="1.0" encoding="utf-8"?>
<sst xmlns="http://schemas.openxmlformats.org/spreadsheetml/2006/main" count="114" uniqueCount="63">
  <si>
    <t>Nombres: Karen Daniela Ruiz Madrigal, Juan Andres Quiceno Banoy, Juan Sebastian Delgado Inocencio, Andres Felipe Piñeros Lozano</t>
  </si>
  <si>
    <t>Presupuesto de Proyecto</t>
  </si>
  <si>
    <t>El usuario debe completar solo las celdas no sombreadas.</t>
  </si>
  <si>
    <t>Mano de Obra</t>
  </si>
  <si>
    <t>Materiales</t>
  </si>
  <si>
    <t>Costos Fijos</t>
  </si>
  <si>
    <t>Balance</t>
  </si>
  <si>
    <t>TAREA</t>
  </si>
  <si>
    <t>DESCRIPCION</t>
  </si>
  <si>
    <t>ESTADO</t>
  </si>
  <si>
    <t>FECHA INICIO PLANIFICADA</t>
  </si>
  <si>
    <t>FECHA INICIO REAL</t>
  </si>
  <si>
    <t>FECHA FIN</t>
  </si>
  <si>
    <t>HORAS</t>
  </si>
  <si>
    <t>VALOR HORA</t>
  </si>
  <si>
    <t>TOTAL MANO DE OBRA</t>
  </si>
  <si>
    <t>UNIDADES</t>
  </si>
  <si>
    <t>VALOR UNIDAD</t>
  </si>
  <si>
    <t>TOTAL MATERIALES</t>
  </si>
  <si>
    <t>VIAJES</t>
  </si>
  <si>
    <t>EQUIPOS</t>
  </si>
  <si>
    <t>MISCELANEOS</t>
  </si>
  <si>
    <t>PRESUPUESTO</t>
  </si>
  <si>
    <t>REAL</t>
  </si>
  <si>
    <t>Diferencia (Menos / Más del Presupuesto)</t>
  </si>
  <si>
    <t>PROJECT 1</t>
  </si>
  <si>
    <t>Configurar proyecto</t>
  </si>
  <si>
    <t>Configurar proyecto en Unreal</t>
  </si>
  <si>
    <t>No Iniciado</t>
  </si>
  <si>
    <t>Planeación del proyecto</t>
  </si>
  <si>
    <t>Organización general</t>
  </si>
  <si>
    <t>Análisis de requisitos</t>
  </si>
  <si>
    <t>Requisitos funcionales</t>
  </si>
  <si>
    <t>Diseño del sistema</t>
  </si>
  <si>
    <t>Arquitectura</t>
  </si>
  <si>
    <t>Diseño del juego</t>
  </si>
  <si>
    <t>Mecánicas y UI</t>
  </si>
  <si>
    <t>Preparación técnica</t>
  </si>
  <si>
    <t>Programar</t>
  </si>
  <si>
    <t>Gameplay</t>
  </si>
  <si>
    <t>Desarrollo</t>
  </si>
  <si>
    <t>Frontend juego</t>
  </si>
  <si>
    <t>Diseño escenarios</t>
  </si>
  <si>
    <t>Escenario universidad</t>
  </si>
  <si>
    <t>SUBTOTAL</t>
  </si>
  <si>
    <t>PROJECT 2</t>
  </si>
  <si>
    <t>Pruebas del juego</t>
  </si>
  <si>
    <t>Testing</t>
  </si>
  <si>
    <t>Task</t>
  </si>
  <si>
    <t>listas desplegables</t>
  </si>
  <si>
    <t>SI / NO</t>
  </si>
  <si>
    <t>PRIORIDAD</t>
  </si>
  <si>
    <t>Si</t>
  </si>
  <si>
    <t>Baja</t>
  </si>
  <si>
    <t>No</t>
  </si>
  <si>
    <t>Media</t>
  </si>
  <si>
    <t>En Progreso</t>
  </si>
  <si>
    <t>Alta</t>
  </si>
  <si>
    <t>Completo</t>
  </si>
  <si>
    <t>Requiere Revisión</t>
  </si>
  <si>
    <t>Aprobado</t>
  </si>
  <si>
    <t>Atrasado</t>
  </si>
  <si>
    <t>En Espera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</si>
</sst>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/dd/yy"/>
    <numFmt numFmtId="165" formatCode="d/M/yyyy"/>
    <numFmt numFmtId="166" formatCode="0.0"/>
    <numFmt numFmtId="167" formatCode="&quot;$&quot;#,##0.00_);\(&quot;$&quot;#,##0.00\)"/>
    <numFmt numFmtId="168" formatCode="&quot;$&quot;#,##0_);\(&quot;$&quot;#,##0\)"/>
    <numFmt numFmtId="169" formatCode="_(&quot;$&quot;* #,##0_);_(&quot;$&quot;* \(#,##0\);_(&quot;$&quot;* &quot;-&quot;??_);_(@_)"/>
    <numFmt numFmtId="170" formatCode="dd/mm/yyyy"/>
    <numFmt numFmtId="171" formatCode="_(* #,##0.00_);_(* \(#,##0.00\);_(* &quot;-&quot;??_);_(@_)"/>
  </numFmts>
  <fonts count="16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>
      <b/>
      <sz val="22.0"/>
      <color rgb="FF595959"/>
      <name val="Century Gothic"/>
    </font>
    <font>
      <b/>
      <sz val="20.0"/>
      <color rgb="FF7F7F7F"/>
      <name val="Century Gothic"/>
    </font>
    <font>
      <sz val="12.0"/>
      <color rgb="FF595959"/>
      <name val="Century Gothic"/>
    </font>
    <font>
      <b/>
      <sz val="10.0"/>
      <color theme="0"/>
      <name val="Century Gothic"/>
    </font>
    <font/>
    <font>
      <color theme="1"/>
      <name val="Calibri"/>
      <scheme val="minor"/>
    </font>
    <font>
      <sz val="10.0"/>
      <color theme="0"/>
      <name val="Century Gothic"/>
    </font>
    <font>
      <b/>
      <sz val="10.0"/>
      <color rgb="FFFFFFFF"/>
      <name val="Century Gothic"/>
    </font>
    <font>
      <b/>
      <sz val="10.0"/>
      <color theme="1"/>
      <name val="Century Gothic"/>
    </font>
    <font>
      <sz val="11.0"/>
      <color rgb="FF000000"/>
      <name val="Calibri"/>
    </font>
    <font>
      <sz val="22.0"/>
      <color rgb="FF595959"/>
      <name val="Century Gothic"/>
    </font>
    <font>
      <sz val="10.0"/>
      <color rgb="FF000000"/>
      <name val="Century Gothic"/>
    </font>
    <font>
      <sz val="11.0"/>
      <color rgb="FF000000"/>
      <name val="Century Gothic"/>
    </font>
  </fonts>
  <fills count="1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595959"/>
        <bgColor rgb="FF595959"/>
      </patternFill>
    </fill>
    <fill>
      <patternFill patternType="solid">
        <fgColor rgb="FF333F4F"/>
        <bgColor rgb="FF333F4F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44546A"/>
        <bgColor rgb="FF44546A"/>
      </patternFill>
    </fill>
    <fill>
      <patternFill patternType="solid">
        <fgColor rgb="FFB6FBF5"/>
        <bgColor rgb="FFB6FBF5"/>
      </patternFill>
    </fill>
    <fill>
      <patternFill patternType="solid">
        <fgColor rgb="FF00EAF0"/>
        <bgColor rgb="FF00EAF0"/>
      </patternFill>
    </fill>
    <fill>
      <patternFill patternType="solid">
        <fgColor rgb="FFFEF2CB"/>
        <bgColor rgb="FFFEF2CB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ABEFEA"/>
        <bgColor rgb="FFABEFEA"/>
      </patternFill>
    </fill>
    <fill>
      <patternFill patternType="solid">
        <fgColor rgb="FF5EE9E7"/>
        <bgColor rgb="FF5EE9E7"/>
      </patternFill>
    </fill>
    <fill>
      <patternFill patternType="solid">
        <fgColor rgb="FFFFD965"/>
        <bgColor rgb="FFFFD965"/>
      </patternFill>
    </fill>
  </fills>
  <borders count="21">
    <border/>
    <border>
      <left/>
      <right/>
      <top/>
      <bottom/>
    </border>
    <border>
      <left/>
      <right style="dotted">
        <color rgb="FFA5A5A5"/>
      </right>
      <top/>
      <bottom/>
    </border>
    <border>
      <left/>
      <top style="medium">
        <color rgb="FFA5A5A5"/>
      </top>
      <bottom style="thin">
        <color rgb="FFBFBFBF"/>
      </bottom>
    </border>
    <border>
      <top style="medium">
        <color rgb="FFA5A5A5"/>
      </top>
      <bottom style="thin">
        <color rgb="FFBFBFBF"/>
      </bottom>
    </border>
    <border>
      <right style="thin">
        <color rgb="FFBFBFBF"/>
      </right>
      <top style="medium">
        <color rgb="FFA5A5A5"/>
      </top>
      <bottom style="thin">
        <color rgb="FFBFBFBF"/>
      </bottom>
    </border>
    <border>
      <left style="thin">
        <color rgb="FFBFBFBF"/>
      </left>
      <top style="medium">
        <color rgb="FFA5A5A5"/>
      </top>
      <bottom style="thin">
        <color rgb="FFBFBFBF"/>
      </bottom>
    </border>
    <border>
      <right style="double">
        <color rgb="FFA5A5A5"/>
      </right>
      <top style="medium">
        <color rgb="FFA5A5A5"/>
      </top>
      <bottom style="thin">
        <color rgb="FFBFBFBF"/>
      </bottom>
    </border>
    <border>
      <left style="double">
        <color rgb="FFA5A5A5"/>
      </left>
      <top style="medium">
        <color rgb="FFA5A5A5"/>
      </top>
      <bottom style="thin">
        <color rgb="FFBFBFBF"/>
      </bottom>
    </border>
    <border>
      <right style="medium">
        <color rgb="FFA5A5A5"/>
      </right>
      <top style="medium">
        <color rgb="FFA5A5A5"/>
      </top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dotted">
        <color rgb="FFA5A5A5"/>
      </right>
      <top/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double">
        <color rgb="FFA5A5A5"/>
      </right>
      <top style="thin">
        <color rgb="FFBFBFBF"/>
      </top>
      <bottom style="thin">
        <color rgb="FFBFBFBF"/>
      </bottom>
    </border>
    <border>
      <left style="double">
        <color rgb="FFA5A5A5"/>
      </left>
      <right style="dotted">
        <color rgb="FFA5A5A5"/>
      </right>
      <top style="thin">
        <color rgb="FFBFBFBF"/>
      </top>
      <bottom style="thin">
        <color rgb="FFBFBFBF"/>
      </bottom>
    </border>
    <border>
      <left/>
      <right style="medium">
        <color rgb="FFA5A5A5"/>
      </right>
      <top style="thin">
        <color rgb="FFBFBFBF"/>
      </top>
      <bottom style="thin">
        <color rgb="FFBFBFBF"/>
      </bottom>
    </border>
    <border>
      <left/>
      <right style="medium">
        <color rgb="FFA5A5A5"/>
      </right>
      <top/>
      <bottom style="thin">
        <color rgb="FFBFBFBF"/>
      </bottom>
    </border>
    <border>
      <left style="thin">
        <color rgb="FFBFBFBF"/>
      </left>
      <right style="dotted">
        <color rgb="FFA5A5A5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1" fillId="2" fontId="2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vertical="center"/>
    </xf>
    <xf borderId="1" fillId="2" fontId="1" numFmtId="0" xfId="0" applyAlignment="1" applyBorder="1" applyFont="1">
      <alignment horizontal="left" shrinkToFit="0" wrapText="1"/>
    </xf>
    <xf borderId="1" fillId="2" fontId="1" numFmtId="0" xfId="0" applyAlignment="1" applyBorder="1" applyFont="1">
      <alignment shrinkToFit="0" wrapText="1"/>
    </xf>
    <xf borderId="1" fillId="2" fontId="5" numFmtId="0" xfId="0" applyAlignment="1" applyBorder="1" applyFont="1">
      <alignment horizontal="left" vertical="center"/>
    </xf>
    <xf borderId="2" fillId="2" fontId="5" numFmtId="0" xfId="0" applyAlignment="1" applyBorder="1" applyFont="1">
      <alignment horizontal="left" vertical="center"/>
    </xf>
    <xf borderId="3" fillId="3" fontId="6" numFmtId="0" xfId="0" applyAlignment="1" applyBorder="1" applyFill="1" applyFont="1">
      <alignment horizontal="left" shrinkToFit="0" vertical="center" wrapText="1"/>
    </xf>
    <xf borderId="4" fillId="0" fontId="7" numFmtId="0" xfId="0" applyBorder="1" applyFont="1"/>
    <xf borderId="5" fillId="0" fontId="7" numFmtId="0" xfId="0" applyBorder="1" applyFont="1"/>
    <xf borderId="6" fillId="3" fontId="6" numFmtId="0" xfId="0" applyAlignment="1" applyBorder="1" applyFont="1">
      <alignment horizontal="left" shrinkToFit="0" vertical="center" wrapText="1"/>
    </xf>
    <xf borderId="7" fillId="0" fontId="7" numFmtId="0" xfId="0" applyBorder="1" applyFont="1"/>
    <xf borderId="8" fillId="3" fontId="6" numFmtId="0" xfId="0" applyAlignment="1" applyBorder="1" applyFont="1">
      <alignment horizontal="left" shrinkToFit="0" vertical="center" wrapText="1"/>
    </xf>
    <xf borderId="9" fillId="0" fontId="7" numFmtId="0" xfId="0" applyBorder="1" applyFont="1"/>
    <xf borderId="1" fillId="2" fontId="1" numFmtId="0" xfId="0" applyAlignment="1" applyBorder="1" applyFont="1">
      <alignment horizontal="left" shrinkToFit="0" vertical="center" wrapText="1"/>
    </xf>
    <xf borderId="10" fillId="4" fontId="6" numFmtId="0" xfId="0" applyAlignment="1" applyBorder="1" applyFill="1" applyFont="1">
      <alignment horizontal="left" shrinkToFit="0" vertical="center" wrapText="1"/>
    </xf>
    <xf borderId="11" fillId="4" fontId="6" numFmtId="0" xfId="0" applyAlignment="1" applyBorder="1" applyFont="1">
      <alignment horizontal="left" shrinkToFit="0" vertical="center" wrapText="1"/>
    </xf>
    <xf borderId="12" fillId="4" fontId="6" numFmtId="0" xfId="0" applyAlignment="1" applyBorder="1" applyFont="1">
      <alignment horizontal="left" shrinkToFit="0" vertical="center" wrapText="1"/>
    </xf>
    <xf borderId="13" fillId="4" fontId="6" numFmtId="0" xfId="0" applyAlignment="1" applyBorder="1" applyFont="1">
      <alignment horizontal="left" shrinkToFit="0" vertical="center" wrapText="1"/>
    </xf>
    <xf borderId="14" fillId="4" fontId="6" numFmtId="0" xfId="0" applyAlignment="1" applyBorder="1" applyFont="1">
      <alignment horizontal="left" shrinkToFit="0" vertical="center" wrapText="1"/>
    </xf>
    <xf borderId="15" fillId="4" fontId="6" numFmtId="0" xfId="0" applyAlignment="1" applyBorder="1" applyFont="1">
      <alignment horizontal="left" shrinkToFit="0" vertical="center" wrapText="1"/>
    </xf>
    <xf borderId="16" fillId="4" fontId="6" numFmtId="0" xfId="0" applyAlignment="1" applyBorder="1" applyFont="1">
      <alignment horizontal="left" shrinkToFit="0" vertical="center" wrapText="1"/>
    </xf>
    <xf borderId="17" fillId="4" fontId="6" numFmtId="0" xfId="0" applyAlignment="1" applyBorder="1" applyFont="1">
      <alignment horizontal="left" shrinkToFit="0" vertical="center" wrapText="1"/>
    </xf>
    <xf borderId="13" fillId="5" fontId="1" numFmtId="0" xfId="0" applyAlignment="1" applyBorder="1" applyFill="1" applyFont="1">
      <alignment horizontal="left" shrinkToFit="0" vertical="center" wrapText="1"/>
    </xf>
    <xf borderId="13" fillId="5" fontId="1" numFmtId="164" xfId="0" applyAlignment="1" applyBorder="1" applyFont="1" applyNumberFormat="1">
      <alignment horizontal="left" shrinkToFit="0" vertical="center" wrapText="1"/>
    </xf>
    <xf borderId="18" fillId="5" fontId="1" numFmtId="164" xfId="0" applyAlignment="1" applyBorder="1" applyFont="1" applyNumberFormat="1">
      <alignment horizontal="left" shrinkToFit="0" vertical="center" wrapText="1"/>
    </xf>
    <xf borderId="12" fillId="5" fontId="1" numFmtId="0" xfId="0" applyAlignment="1" applyBorder="1" applyFont="1">
      <alignment horizontal="left" vertical="center"/>
    </xf>
    <xf borderId="13" fillId="5" fontId="1" numFmtId="0" xfId="0" applyAlignment="1" applyBorder="1" applyFont="1">
      <alignment horizontal="left" vertical="center"/>
    </xf>
    <xf borderId="14" fillId="5" fontId="1" numFmtId="0" xfId="0" applyAlignment="1" applyBorder="1" applyFont="1">
      <alignment horizontal="left" vertical="center"/>
    </xf>
    <xf borderId="15" fillId="5" fontId="1" numFmtId="0" xfId="0" applyAlignment="1" applyBorder="1" applyFont="1">
      <alignment horizontal="left" vertical="center"/>
    </xf>
    <xf borderId="16" fillId="5" fontId="1" numFmtId="0" xfId="0" applyAlignment="1" applyBorder="1" applyFont="1">
      <alignment horizontal="left" vertical="center"/>
    </xf>
    <xf borderId="13" fillId="0" fontId="1" numFmtId="0" xfId="0" applyAlignment="1" applyBorder="1" applyFont="1">
      <alignment horizontal="left" readingOrder="0" shrinkToFit="0" vertical="center" wrapText="1"/>
    </xf>
    <xf borderId="13" fillId="2" fontId="1" numFmtId="0" xfId="0" applyAlignment="1" applyBorder="1" applyFont="1">
      <alignment horizontal="left" shrinkToFit="0" vertical="center" wrapText="1"/>
    </xf>
    <xf borderId="13" fillId="0" fontId="1" numFmtId="165" xfId="0" applyAlignment="1" applyBorder="1" applyFont="1" applyNumberFormat="1">
      <alignment horizontal="left" readingOrder="0" shrinkToFit="0" vertical="center" wrapText="1"/>
    </xf>
    <xf borderId="0" fillId="0" fontId="8" numFmtId="166" xfId="0" applyAlignment="1" applyFont="1" applyNumberFormat="1">
      <alignment horizontal="left" readingOrder="0"/>
    </xf>
    <xf borderId="13" fillId="0" fontId="1" numFmtId="167" xfId="0" applyAlignment="1" applyBorder="1" applyFont="1" applyNumberFormat="1">
      <alignment horizontal="left" readingOrder="0" vertical="center"/>
    </xf>
    <xf borderId="13" fillId="5" fontId="1" numFmtId="168" xfId="0" applyAlignment="1" applyBorder="1" applyFont="1" applyNumberFormat="1">
      <alignment horizontal="left" vertical="center"/>
    </xf>
    <xf borderId="13" fillId="0" fontId="1" numFmtId="166" xfId="0" applyAlignment="1" applyBorder="1" applyFont="1" applyNumberFormat="1">
      <alignment horizontal="left" readingOrder="0" vertical="center"/>
    </xf>
    <xf borderId="0" fillId="0" fontId="8" numFmtId="167" xfId="0" applyAlignment="1" applyFont="1" applyNumberFormat="1">
      <alignment horizontal="left" readingOrder="0"/>
    </xf>
    <xf borderId="13" fillId="0" fontId="1" numFmtId="168" xfId="0" applyAlignment="1" applyBorder="1" applyFont="1" applyNumberFormat="1">
      <alignment horizontal="left" readingOrder="0" vertical="center"/>
    </xf>
    <xf borderId="14" fillId="0" fontId="1" numFmtId="168" xfId="0" applyAlignment="1" applyBorder="1" applyFont="1" applyNumberFormat="1">
      <alignment horizontal="left" readingOrder="0" vertical="center"/>
    </xf>
    <xf borderId="0" fillId="0" fontId="8" numFmtId="169" xfId="0" applyAlignment="1" applyFont="1" applyNumberFormat="1">
      <alignment horizontal="left" readingOrder="0"/>
    </xf>
    <xf borderId="16" fillId="6" fontId="1" numFmtId="169" xfId="0" applyAlignment="1" applyBorder="1" applyFill="1" applyFont="1" applyNumberFormat="1">
      <alignment horizontal="left" vertical="center"/>
    </xf>
    <xf borderId="16" fillId="7" fontId="1" numFmtId="169" xfId="0" applyAlignment="1" applyBorder="1" applyFill="1" applyFont="1" applyNumberFormat="1">
      <alignment horizontal="left" vertical="center"/>
    </xf>
    <xf borderId="18" fillId="0" fontId="1" numFmtId="165" xfId="0" applyAlignment="1" applyBorder="1" applyFont="1" applyNumberFormat="1">
      <alignment horizontal="left" readingOrder="0" shrinkToFit="0" vertical="center" wrapText="1"/>
    </xf>
    <xf borderId="19" fillId="0" fontId="1" numFmtId="166" xfId="0" applyAlignment="1" applyBorder="1" applyFont="1" applyNumberFormat="1">
      <alignment horizontal="left" readingOrder="0" vertical="center"/>
    </xf>
    <xf borderId="15" fillId="0" fontId="1" numFmtId="169" xfId="0" applyAlignment="1" applyBorder="1" applyFont="1" applyNumberFormat="1">
      <alignment horizontal="left" readingOrder="0" vertical="center"/>
    </xf>
    <xf borderId="13" fillId="8" fontId="6" numFmtId="0" xfId="0" applyAlignment="1" applyBorder="1" applyFill="1" applyFont="1">
      <alignment horizontal="left" shrinkToFit="0" vertical="center" wrapText="1"/>
    </xf>
    <xf borderId="13" fillId="8" fontId="9" numFmtId="0" xfId="0" applyAlignment="1" applyBorder="1" applyFont="1">
      <alignment horizontal="left" shrinkToFit="0" vertical="center" wrapText="1"/>
    </xf>
    <xf borderId="13" fillId="8" fontId="6" numFmtId="164" xfId="0" applyAlignment="1" applyBorder="1" applyFont="1" applyNumberFormat="1">
      <alignment horizontal="left" shrinkToFit="0" vertical="center" wrapText="1"/>
    </xf>
    <xf borderId="18" fillId="8" fontId="10" numFmtId="170" xfId="0" applyAlignment="1" applyBorder="1" applyFont="1" applyNumberFormat="1">
      <alignment horizontal="left" readingOrder="0" shrinkToFit="0" vertical="center" wrapText="1"/>
    </xf>
    <xf borderId="12" fillId="8" fontId="1" numFmtId="166" xfId="0" applyAlignment="1" applyBorder="1" applyFont="1" applyNumberFormat="1">
      <alignment horizontal="left" readingOrder="0" vertical="center"/>
    </xf>
    <xf borderId="13" fillId="8" fontId="6" numFmtId="167" xfId="0" applyAlignment="1" applyBorder="1" applyFont="1" applyNumberFormat="1">
      <alignment horizontal="left" vertical="center"/>
    </xf>
    <xf borderId="13" fillId="8" fontId="6" numFmtId="168" xfId="0" applyAlignment="1" applyBorder="1" applyFont="1" applyNumberFormat="1">
      <alignment horizontal="left" vertical="center"/>
    </xf>
    <xf borderId="14" fillId="8" fontId="6" numFmtId="168" xfId="0" applyAlignment="1" applyBorder="1" applyFont="1" applyNumberFormat="1">
      <alignment horizontal="left" vertical="center"/>
    </xf>
    <xf borderId="15" fillId="8" fontId="6" numFmtId="169" xfId="0" applyAlignment="1" applyBorder="1" applyFont="1" applyNumberFormat="1">
      <alignment horizontal="left" vertical="center"/>
    </xf>
    <xf borderId="16" fillId="8" fontId="6" numFmtId="169" xfId="0" applyAlignment="1" applyBorder="1" applyFont="1" applyNumberFormat="1">
      <alignment horizontal="left" vertical="center"/>
    </xf>
    <xf borderId="1" fillId="2" fontId="9" numFmtId="0" xfId="0" applyAlignment="1" applyBorder="1" applyFont="1">
      <alignment horizontal="left" shrinkToFit="0" vertical="center" wrapText="1"/>
    </xf>
    <xf borderId="1" fillId="2" fontId="1" numFmtId="166" xfId="0" applyAlignment="1" applyBorder="1" applyFont="1" applyNumberFormat="1">
      <alignment horizontal="left" shrinkToFit="0" vertical="center" wrapText="1"/>
    </xf>
    <xf borderId="1" fillId="2" fontId="1" numFmtId="167" xfId="0" applyAlignment="1" applyBorder="1" applyFont="1" applyNumberFormat="1">
      <alignment horizontal="left" shrinkToFit="0" vertical="center" wrapText="1"/>
    </xf>
    <xf borderId="1" fillId="2" fontId="1" numFmtId="171" xfId="0" applyAlignment="1" applyBorder="1" applyFont="1" applyNumberFormat="1">
      <alignment horizontal="left" shrinkToFit="0" vertical="center" wrapText="1"/>
    </xf>
    <xf borderId="1" fillId="2" fontId="11" numFmtId="171" xfId="0" applyAlignment="1" applyBorder="1" applyFont="1" applyNumberFormat="1">
      <alignment horizontal="left" shrinkToFit="0" vertical="center" wrapText="1"/>
    </xf>
    <xf borderId="13" fillId="0" fontId="1" numFmtId="170" xfId="0" applyAlignment="1" applyBorder="1" applyFont="1" applyNumberFormat="1">
      <alignment horizontal="left" readingOrder="0" shrinkToFit="0" vertical="center" wrapText="1"/>
    </xf>
    <xf borderId="18" fillId="0" fontId="1" numFmtId="170" xfId="0" applyAlignment="1" applyBorder="1" applyFont="1" applyNumberFormat="1">
      <alignment horizontal="left" readingOrder="0" shrinkToFit="0" vertical="center" wrapText="1"/>
    </xf>
    <xf borderId="0" fillId="0" fontId="12" numFmtId="169" xfId="0" applyAlignment="1" applyFont="1" applyNumberFormat="1">
      <alignment horizontal="right" readingOrder="0" shrinkToFit="0" vertical="bottom" wrapText="0"/>
    </xf>
    <xf borderId="13" fillId="0" fontId="1" numFmtId="0" xfId="0" applyAlignment="1" applyBorder="1" applyFont="1">
      <alignment horizontal="left" shrinkToFit="0" vertical="center" wrapText="1"/>
    </xf>
    <xf borderId="13" fillId="0" fontId="1" numFmtId="164" xfId="0" applyAlignment="1" applyBorder="1" applyFont="1" applyNumberFormat="1">
      <alignment horizontal="left" shrinkToFit="0" vertical="center" wrapText="1"/>
    </xf>
    <xf borderId="18" fillId="0" fontId="1" numFmtId="164" xfId="0" applyAlignment="1" applyBorder="1" applyFont="1" applyNumberFormat="1">
      <alignment horizontal="left" shrinkToFit="0" vertical="center" wrapText="1"/>
    </xf>
    <xf borderId="19" fillId="0" fontId="1" numFmtId="166" xfId="0" applyAlignment="1" applyBorder="1" applyFont="1" applyNumberFormat="1">
      <alignment horizontal="left" vertical="center"/>
    </xf>
    <xf borderId="13" fillId="0" fontId="1" numFmtId="167" xfId="0" applyAlignment="1" applyBorder="1" applyFont="1" applyNumberFormat="1">
      <alignment horizontal="left" vertical="center"/>
    </xf>
    <xf borderId="13" fillId="0" fontId="1" numFmtId="166" xfId="0" applyAlignment="1" applyBorder="1" applyFont="1" applyNumberFormat="1">
      <alignment horizontal="left" vertical="center"/>
    </xf>
    <xf borderId="13" fillId="0" fontId="1" numFmtId="168" xfId="0" applyAlignment="1" applyBorder="1" applyFont="1" applyNumberFormat="1">
      <alignment horizontal="left" vertical="center"/>
    </xf>
    <xf borderId="14" fillId="0" fontId="1" numFmtId="168" xfId="0" applyAlignment="1" applyBorder="1" applyFont="1" applyNumberFormat="1">
      <alignment horizontal="left" vertical="center"/>
    </xf>
    <xf borderId="15" fillId="0" fontId="1" numFmtId="169" xfId="0" applyAlignment="1" applyBorder="1" applyFont="1" applyNumberFormat="1">
      <alignment horizontal="left" vertical="center"/>
    </xf>
    <xf borderId="18" fillId="8" fontId="6" numFmtId="164" xfId="0" applyAlignment="1" applyBorder="1" applyFont="1" applyNumberFormat="1">
      <alignment horizontal="left" shrinkToFit="0" vertical="center" wrapText="1"/>
    </xf>
    <xf borderId="12" fillId="8" fontId="1" numFmtId="166" xfId="0" applyAlignment="1" applyBorder="1" applyFont="1" applyNumberFormat="1">
      <alignment horizontal="left" vertical="center"/>
    </xf>
    <xf borderId="1" fillId="2" fontId="9" numFmtId="0" xfId="0" applyAlignment="1" applyBorder="1" applyFont="1">
      <alignment horizontal="left" shrinkToFit="0" wrapText="1"/>
    </xf>
    <xf borderId="1" fillId="2" fontId="1" numFmtId="166" xfId="0" applyAlignment="1" applyBorder="1" applyFont="1" applyNumberFormat="1">
      <alignment horizontal="left" shrinkToFit="0" wrapText="1"/>
    </xf>
    <xf borderId="1" fillId="2" fontId="1" numFmtId="167" xfId="0" applyAlignment="1" applyBorder="1" applyFont="1" applyNumberFormat="1">
      <alignment horizontal="left" shrinkToFit="0" wrapText="1"/>
    </xf>
    <xf borderId="1" fillId="2" fontId="1" numFmtId="171" xfId="0" applyAlignment="1" applyBorder="1" applyFont="1" applyNumberFormat="1">
      <alignment horizontal="left" shrinkToFit="0" wrapText="1"/>
    </xf>
    <xf borderId="1" fillId="2" fontId="11" numFmtId="171" xfId="0" applyAlignment="1" applyBorder="1" applyFont="1" applyNumberFormat="1">
      <alignment horizontal="left" shrinkToFit="0" vertical="top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left" shrinkToFit="0" vertical="center" wrapText="1"/>
    </xf>
    <xf borderId="1" fillId="2" fontId="13" numFmtId="0" xfId="0" applyAlignment="1" applyBorder="1" applyFont="1">
      <alignment vertical="center"/>
    </xf>
    <xf borderId="1" fillId="2" fontId="4" numFmtId="0" xfId="0" applyAlignment="1" applyBorder="1" applyFont="1">
      <alignment vertical="center"/>
    </xf>
    <xf borderId="20" fillId="7" fontId="11" numFmtId="0" xfId="0" applyAlignment="1" applyBorder="1" applyFont="1">
      <alignment horizontal="center" shrinkToFit="0" vertical="center" wrapText="1"/>
    </xf>
    <xf borderId="13" fillId="9" fontId="14" numFmtId="0" xfId="0" applyAlignment="1" applyBorder="1" applyFill="1" applyFont="1">
      <alignment horizontal="center" vertical="center"/>
    </xf>
    <xf borderId="13" fillId="10" fontId="14" numFmtId="0" xfId="0" applyAlignment="1" applyBorder="1" applyFill="1" applyFont="1">
      <alignment horizontal="left" vertical="center"/>
    </xf>
    <xf borderId="13" fillId="11" fontId="1" numFmtId="0" xfId="0" applyAlignment="1" applyBorder="1" applyFill="1" applyFont="1">
      <alignment horizontal="left" shrinkToFit="0" vertical="center" wrapText="1"/>
    </xf>
    <xf borderId="13" fillId="7" fontId="14" numFmtId="0" xfId="0" applyAlignment="1" applyBorder="1" applyFont="1">
      <alignment horizontal="center" vertical="center"/>
    </xf>
    <xf borderId="13" fillId="12" fontId="14" numFmtId="0" xfId="0" applyAlignment="1" applyBorder="1" applyFill="1" applyFont="1">
      <alignment horizontal="left" vertical="center"/>
    </xf>
    <xf borderId="13" fillId="13" fontId="14" numFmtId="0" xfId="0" applyAlignment="1" applyBorder="1" applyFill="1" applyFont="1">
      <alignment horizontal="left" readingOrder="1" shrinkToFit="0" vertical="center" wrapText="1"/>
    </xf>
    <xf borderId="13" fillId="14" fontId="14" numFmtId="0" xfId="0" applyAlignment="1" applyBorder="1" applyFill="1" applyFont="1">
      <alignment horizontal="left" vertical="center"/>
    </xf>
    <xf borderId="13" fillId="15" fontId="14" numFmtId="0" xfId="0" applyAlignment="1" applyBorder="1" applyFill="1" applyFont="1">
      <alignment horizontal="left" readingOrder="1" shrinkToFit="0" vertical="center" wrapText="1"/>
    </xf>
    <xf borderId="0" fillId="0" fontId="15" numFmtId="0" xfId="0" applyFont="1"/>
    <xf borderId="13" fillId="16" fontId="1" numFmtId="0" xfId="0" applyAlignment="1" applyBorder="1" applyFill="1" applyFont="1">
      <alignment horizontal="left" shrinkToFit="0" vertical="center" wrapText="1"/>
    </xf>
    <xf borderId="13" fillId="17" fontId="1" numFmtId="0" xfId="0" applyAlignment="1" applyBorder="1" applyFill="1" applyFont="1">
      <alignment horizontal="left" shrinkToFit="0" vertical="center" wrapText="1"/>
    </xf>
    <xf borderId="13" fillId="18" fontId="1" numFmtId="0" xfId="0" applyAlignment="1" applyBorder="1" applyFill="1" applyFont="1">
      <alignment horizontal="left" shrinkToFit="0" vertical="center" wrapText="1"/>
    </xf>
    <xf borderId="13" fillId="7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18">
    <dxf>
      <font/>
      <fill>
        <patternFill patternType="solid">
          <fgColor rgb="FF5EE9E7"/>
          <bgColor rgb="FF5EE9E7"/>
        </patternFill>
      </fill>
      <border/>
    </dxf>
    <dxf>
      <font/>
      <fill>
        <patternFill patternType="solid">
          <fgColor rgb="FFABEFEA"/>
          <bgColor rgb="FFABEFEA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  <dxf>
      <font>
        <color theme="1"/>
      </font>
      <fill>
        <patternFill patternType="solid">
          <fgColor rgb="FF03C25B"/>
          <bgColor rgb="FF03C25B"/>
        </patternFill>
      </fill>
      <border/>
    </dxf>
    <dxf>
      <font>
        <color theme="1"/>
      </font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00B0F0"/>
          <bgColor rgb="FF00B0F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>
        <color theme="1"/>
      </font>
      <fill>
        <patternFill patternType="solid">
          <fgColor rgb="FFE7FFCA"/>
          <bgColor rgb="FFE7FFCA"/>
        </patternFill>
      </fill>
      <border/>
    </dxf>
    <dxf>
      <font>
        <color rgb="FF600000"/>
      </font>
      <fill>
        <patternFill patternType="solid">
          <fgColor rgb="FFFF927C"/>
          <bgColor rgb="FFFF927C"/>
        </patternFill>
      </fill>
      <border/>
    </dxf>
    <dxf>
      <font>
        <color theme="1"/>
      </font>
      <fill>
        <patternFill patternType="solid">
          <fgColor rgb="FF00EAF0"/>
          <bgColor rgb="FF00EAF0"/>
        </patternFill>
      </fill>
      <border/>
    </dxf>
    <dxf>
      <font>
        <color theme="1"/>
      </font>
      <fill>
        <patternFill patternType="solid">
          <fgColor rgb="FFFFC000"/>
          <bgColor rgb="FFFFC000"/>
        </patternFill>
      </fill>
      <border/>
    </dxf>
    <dxf>
      <font>
        <color theme="1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 fitToPage="1"/>
  </sheetPr>
  <sheetViews>
    <sheetView showGridLines="0" workbookViewId="0"/>
  </sheetViews>
  <sheetFormatPr customHeight="1" defaultColWidth="11.22" defaultRowHeight="15.0"/>
  <cols>
    <col customWidth="1" min="1" max="1" width="50.22"/>
    <col customWidth="1" min="2" max="2" width="13.89"/>
    <col customWidth="1" min="3" max="3" width="20.89"/>
    <col customWidth="1" min="4" max="4" width="12.89"/>
    <col customWidth="1" min="5" max="7" width="11.67"/>
    <col customWidth="1" min="8" max="8" width="8.89"/>
    <col customWidth="1" min="9" max="9" width="10.0"/>
    <col customWidth="1" min="10" max="10" width="11.89"/>
    <col customWidth="1" min="11" max="11" width="8.89"/>
    <col customWidth="1" min="12" max="12" width="10.0"/>
    <col customWidth="1" min="13" max="16" width="11.89"/>
    <col customWidth="1" min="17" max="19" width="12.89"/>
    <col customWidth="1" min="20" max="20" width="3.11"/>
    <col customWidth="1" min="21" max="39" width="11.0"/>
  </cols>
  <sheetData>
    <row r="1" ht="45.0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ht="34.5" customHeight="1">
      <c r="A2" s="5"/>
      <c r="B2" s="7" t="s">
        <v>2</v>
      </c>
      <c r="C2" s="7"/>
      <c r="D2" s="7"/>
      <c r="E2" s="7"/>
      <c r="F2" s="7"/>
      <c r="G2" s="8"/>
      <c r="H2" s="9" t="s">
        <v>3</v>
      </c>
      <c r="I2" s="10"/>
      <c r="J2" s="11"/>
      <c r="K2" s="12" t="s">
        <v>4</v>
      </c>
      <c r="L2" s="10"/>
      <c r="M2" s="11"/>
      <c r="N2" s="12" t="s">
        <v>5</v>
      </c>
      <c r="O2" s="10"/>
      <c r="P2" s="13"/>
      <c r="Q2" s="14" t="s">
        <v>6</v>
      </c>
      <c r="R2" s="10"/>
      <c r="S2" s="15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</row>
    <row r="3" ht="34.5" customHeight="1">
      <c r="A3" s="5"/>
      <c r="B3" s="17" t="s">
        <v>7</v>
      </c>
      <c r="C3" s="17" t="s">
        <v>8</v>
      </c>
      <c r="D3" s="17" t="s">
        <v>9</v>
      </c>
      <c r="E3" s="17" t="s">
        <v>10</v>
      </c>
      <c r="F3" s="17" t="s">
        <v>11</v>
      </c>
      <c r="G3" s="18" t="s">
        <v>12</v>
      </c>
      <c r="H3" s="19" t="s">
        <v>13</v>
      </c>
      <c r="I3" s="20" t="s">
        <v>14</v>
      </c>
      <c r="J3" s="20" t="s">
        <v>15</v>
      </c>
      <c r="K3" s="17" t="s">
        <v>16</v>
      </c>
      <c r="L3" s="17" t="s">
        <v>17</v>
      </c>
      <c r="M3" s="17" t="s">
        <v>18</v>
      </c>
      <c r="N3" s="17" t="s">
        <v>19</v>
      </c>
      <c r="O3" s="17" t="s">
        <v>20</v>
      </c>
      <c r="P3" s="21" t="s">
        <v>21</v>
      </c>
      <c r="Q3" s="22" t="s">
        <v>22</v>
      </c>
      <c r="R3" s="23" t="s">
        <v>23</v>
      </c>
      <c r="S3" s="24" t="s">
        <v>24</v>
      </c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</row>
    <row r="4" ht="30.0" customHeight="1">
      <c r="A4" s="16"/>
      <c r="B4" s="25" t="s">
        <v>25</v>
      </c>
      <c r="C4" s="25"/>
      <c r="D4" s="25"/>
      <c r="E4" s="26"/>
      <c r="F4" s="26"/>
      <c r="G4" s="27"/>
      <c r="H4" s="28"/>
      <c r="I4" s="29"/>
      <c r="J4" s="29"/>
      <c r="K4" s="29"/>
      <c r="L4" s="29"/>
      <c r="M4" s="29"/>
      <c r="N4" s="29"/>
      <c r="O4" s="29"/>
      <c r="P4" s="30"/>
      <c r="Q4" s="31"/>
      <c r="R4" s="32"/>
      <c r="S4" s="32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</row>
    <row r="5" ht="30.0" customHeight="1">
      <c r="A5" s="16"/>
      <c r="B5" s="33" t="s">
        <v>26</v>
      </c>
      <c r="C5" s="33" t="s">
        <v>27</v>
      </c>
      <c r="D5" s="34" t="s">
        <v>28</v>
      </c>
      <c r="E5" s="35">
        <v>46075.0</v>
      </c>
      <c r="F5" s="35">
        <v>46075.0</v>
      </c>
      <c r="G5" s="35">
        <v>46079.0</v>
      </c>
      <c r="H5" s="36">
        <v>160.0</v>
      </c>
      <c r="I5" s="37">
        <v>21875.0</v>
      </c>
      <c r="J5" s="38">
        <f t="shared" ref="J5:J13" si="1">H5*I5</f>
        <v>3500000</v>
      </c>
      <c r="K5" s="39">
        <v>10.0</v>
      </c>
      <c r="L5" s="40">
        <v>5000.0</v>
      </c>
      <c r="M5" s="38">
        <f t="shared" ref="M5:M13" si="2">K5*L5</f>
        <v>50000</v>
      </c>
      <c r="N5" s="41">
        <v>0.0</v>
      </c>
      <c r="O5" s="41">
        <v>0.0</v>
      </c>
      <c r="P5" s="42">
        <v>50000.0</v>
      </c>
      <c r="Q5" s="43">
        <v>3600000.0</v>
      </c>
      <c r="R5" s="44">
        <f t="shared" ref="R5:R13" si="3">J5+M5+N5+O5+P5</f>
        <v>3600000</v>
      </c>
      <c r="S5" s="45">
        <f t="shared" ref="S5:S14" si="4">R5-Q5</f>
        <v>0</v>
      </c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</row>
    <row r="6" ht="30.0" customHeight="1">
      <c r="A6" s="16"/>
      <c r="B6" s="33" t="s">
        <v>29</v>
      </c>
      <c r="C6" s="33" t="s">
        <v>30</v>
      </c>
      <c r="D6" s="34" t="s">
        <v>28</v>
      </c>
      <c r="E6" s="35">
        <v>46080.0</v>
      </c>
      <c r="F6" s="35">
        <v>46080.0</v>
      </c>
      <c r="G6" s="46">
        <v>46086.0</v>
      </c>
      <c r="H6" s="47">
        <v>120.0</v>
      </c>
      <c r="I6" s="37">
        <v>21875.0</v>
      </c>
      <c r="J6" s="38">
        <f t="shared" si="1"/>
        <v>2625000</v>
      </c>
      <c r="K6" s="39">
        <v>0.0</v>
      </c>
      <c r="L6" s="37">
        <v>0.0</v>
      </c>
      <c r="M6" s="38">
        <f t="shared" si="2"/>
        <v>0</v>
      </c>
      <c r="N6" s="41">
        <v>0.0</v>
      </c>
      <c r="O6" s="41">
        <v>0.0</v>
      </c>
      <c r="P6" s="42">
        <v>40000.0</v>
      </c>
      <c r="Q6" s="48">
        <v>2665000.0</v>
      </c>
      <c r="R6" s="44">
        <f t="shared" si="3"/>
        <v>2665000</v>
      </c>
      <c r="S6" s="45">
        <f t="shared" si="4"/>
        <v>0</v>
      </c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</row>
    <row r="7" ht="30.0" customHeight="1">
      <c r="A7" s="16"/>
      <c r="B7" s="33" t="s">
        <v>31</v>
      </c>
      <c r="C7" s="33" t="s">
        <v>32</v>
      </c>
      <c r="D7" s="34" t="s">
        <v>28</v>
      </c>
      <c r="E7" s="35">
        <v>46087.0</v>
      </c>
      <c r="F7" s="35">
        <v>46087.0</v>
      </c>
      <c r="G7" s="46">
        <v>46096.0</v>
      </c>
      <c r="H7" s="47">
        <v>140.0</v>
      </c>
      <c r="I7" s="37">
        <v>21875.0</v>
      </c>
      <c r="J7" s="38">
        <f t="shared" si="1"/>
        <v>3062500</v>
      </c>
      <c r="K7" s="39">
        <v>0.0</v>
      </c>
      <c r="L7" s="37">
        <v>0.0</v>
      </c>
      <c r="M7" s="38">
        <f t="shared" si="2"/>
        <v>0</v>
      </c>
      <c r="N7" s="41">
        <v>0.0</v>
      </c>
      <c r="O7" s="41">
        <v>0.0</v>
      </c>
      <c r="P7" s="42">
        <v>50000.0</v>
      </c>
      <c r="Q7" s="48">
        <v>3112500.0</v>
      </c>
      <c r="R7" s="44">
        <f t="shared" si="3"/>
        <v>3112500</v>
      </c>
      <c r="S7" s="45">
        <f t="shared" si="4"/>
        <v>0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</row>
    <row r="8" ht="30.0" customHeight="1">
      <c r="A8" s="16"/>
      <c r="B8" s="33" t="s">
        <v>33</v>
      </c>
      <c r="C8" s="33" t="s">
        <v>34</v>
      </c>
      <c r="D8" s="34" t="s">
        <v>28</v>
      </c>
      <c r="E8" s="35">
        <v>46097.0</v>
      </c>
      <c r="F8" s="35">
        <v>46097.0</v>
      </c>
      <c r="G8" s="46">
        <v>46106.0</v>
      </c>
      <c r="H8" s="47">
        <v>150.0</v>
      </c>
      <c r="I8" s="37">
        <v>21875.0</v>
      </c>
      <c r="J8" s="38">
        <f t="shared" si="1"/>
        <v>3281250</v>
      </c>
      <c r="K8" s="39">
        <v>0.0</v>
      </c>
      <c r="L8" s="37">
        <v>0.0</v>
      </c>
      <c r="M8" s="38">
        <f t="shared" si="2"/>
        <v>0</v>
      </c>
      <c r="N8" s="41">
        <v>0.0</v>
      </c>
      <c r="O8" s="41">
        <v>0.0</v>
      </c>
      <c r="P8" s="42">
        <v>60000.0</v>
      </c>
      <c r="Q8" s="48">
        <v>3341250.0</v>
      </c>
      <c r="R8" s="44">
        <f t="shared" si="3"/>
        <v>3341250</v>
      </c>
      <c r="S8" s="45">
        <f t="shared" si="4"/>
        <v>0</v>
      </c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</row>
    <row r="9" ht="30.0" customHeight="1">
      <c r="A9" s="16"/>
      <c r="B9" s="33" t="s">
        <v>35</v>
      </c>
      <c r="C9" s="33" t="s">
        <v>36</v>
      </c>
      <c r="D9" s="34" t="s">
        <v>28</v>
      </c>
      <c r="E9" s="35">
        <v>46107.0</v>
      </c>
      <c r="F9" s="35">
        <v>46107.0</v>
      </c>
      <c r="G9" s="46">
        <v>46122.0</v>
      </c>
      <c r="H9" s="47">
        <v>180.0</v>
      </c>
      <c r="I9" s="37">
        <v>21875.0</v>
      </c>
      <c r="J9" s="38">
        <f t="shared" si="1"/>
        <v>3937500</v>
      </c>
      <c r="K9" s="39">
        <v>0.0</v>
      </c>
      <c r="L9" s="37">
        <v>0.0</v>
      </c>
      <c r="M9" s="38">
        <f t="shared" si="2"/>
        <v>0</v>
      </c>
      <c r="N9" s="41">
        <v>0.0</v>
      </c>
      <c r="O9" s="41">
        <v>0.0</v>
      </c>
      <c r="P9" s="42">
        <v>80000.0</v>
      </c>
      <c r="Q9" s="48">
        <v>4017500.0</v>
      </c>
      <c r="R9" s="44">
        <f t="shared" si="3"/>
        <v>4017500</v>
      </c>
      <c r="S9" s="45">
        <f t="shared" si="4"/>
        <v>0</v>
      </c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</row>
    <row r="10" ht="30.0" customHeight="1">
      <c r="A10" s="16"/>
      <c r="B10" s="33" t="s">
        <v>34</v>
      </c>
      <c r="C10" s="33" t="s">
        <v>37</v>
      </c>
      <c r="D10" s="34" t="s">
        <v>28</v>
      </c>
      <c r="E10" s="35">
        <v>46123.0</v>
      </c>
      <c r="F10" s="35">
        <v>46123.0</v>
      </c>
      <c r="G10" s="46">
        <v>46132.0</v>
      </c>
      <c r="H10" s="47">
        <v>120.0</v>
      </c>
      <c r="I10" s="37">
        <v>21875.0</v>
      </c>
      <c r="J10" s="38">
        <f t="shared" si="1"/>
        <v>2625000</v>
      </c>
      <c r="K10" s="39">
        <v>0.0</v>
      </c>
      <c r="L10" s="37">
        <v>0.0</v>
      </c>
      <c r="M10" s="38">
        <f t="shared" si="2"/>
        <v>0</v>
      </c>
      <c r="N10" s="41">
        <v>0.0</v>
      </c>
      <c r="O10" s="41">
        <v>0.0</v>
      </c>
      <c r="P10" s="42">
        <v>50000.0</v>
      </c>
      <c r="Q10" s="48">
        <v>2675000.0</v>
      </c>
      <c r="R10" s="44">
        <f t="shared" si="3"/>
        <v>2675000</v>
      </c>
      <c r="S10" s="45">
        <f t="shared" si="4"/>
        <v>0</v>
      </c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</row>
    <row r="11" ht="30.0" customHeight="1">
      <c r="A11" s="16"/>
      <c r="B11" s="33" t="s">
        <v>38</v>
      </c>
      <c r="C11" s="33" t="s">
        <v>39</v>
      </c>
      <c r="D11" s="34" t="s">
        <v>28</v>
      </c>
      <c r="E11" s="35">
        <v>46133.0</v>
      </c>
      <c r="F11" s="35">
        <v>46133.0</v>
      </c>
      <c r="G11" s="46">
        <v>46152.0</v>
      </c>
      <c r="H11" s="47">
        <v>320.0</v>
      </c>
      <c r="I11" s="37">
        <v>21875.0</v>
      </c>
      <c r="J11" s="38">
        <f t="shared" si="1"/>
        <v>7000000</v>
      </c>
      <c r="K11" s="39">
        <v>0.0</v>
      </c>
      <c r="L11" s="37">
        <v>0.0</v>
      </c>
      <c r="M11" s="38">
        <f t="shared" si="2"/>
        <v>0</v>
      </c>
      <c r="N11" s="41">
        <v>0.0</v>
      </c>
      <c r="O11" s="41">
        <v>0.0</v>
      </c>
      <c r="P11" s="42">
        <v>150000.0</v>
      </c>
      <c r="Q11" s="48">
        <v>7150000.0</v>
      </c>
      <c r="R11" s="44">
        <f t="shared" si="3"/>
        <v>7150000</v>
      </c>
      <c r="S11" s="45">
        <f t="shared" si="4"/>
        <v>0</v>
      </c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</row>
    <row r="12" ht="30.0" customHeight="1">
      <c r="A12" s="16"/>
      <c r="B12" s="33" t="s">
        <v>40</v>
      </c>
      <c r="C12" s="33" t="s">
        <v>41</v>
      </c>
      <c r="D12" s="34" t="s">
        <v>28</v>
      </c>
      <c r="E12" s="35">
        <v>46153.0</v>
      </c>
      <c r="F12" s="35">
        <v>46153.0</v>
      </c>
      <c r="G12" s="46">
        <v>46160.0</v>
      </c>
      <c r="H12" s="47">
        <v>240.0</v>
      </c>
      <c r="I12" s="37">
        <v>21875.0</v>
      </c>
      <c r="J12" s="38">
        <f t="shared" si="1"/>
        <v>5250000</v>
      </c>
      <c r="K12" s="39">
        <v>0.0</v>
      </c>
      <c r="L12" s="37">
        <v>0.0</v>
      </c>
      <c r="M12" s="38">
        <f t="shared" si="2"/>
        <v>0</v>
      </c>
      <c r="N12" s="41">
        <v>0.0</v>
      </c>
      <c r="O12" s="41">
        <v>0.0</v>
      </c>
      <c r="P12" s="42">
        <v>120000.0</v>
      </c>
      <c r="Q12" s="48">
        <v>5370000.0</v>
      </c>
      <c r="R12" s="44">
        <f t="shared" si="3"/>
        <v>5370000</v>
      </c>
      <c r="S12" s="45">
        <f t="shared" si="4"/>
        <v>0</v>
      </c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</row>
    <row r="13" ht="30.0" customHeight="1">
      <c r="A13" s="16"/>
      <c r="B13" s="33" t="s">
        <v>42</v>
      </c>
      <c r="C13" s="33" t="s">
        <v>43</v>
      </c>
      <c r="D13" s="34" t="s">
        <v>28</v>
      </c>
      <c r="E13" s="35">
        <v>46161.0</v>
      </c>
      <c r="F13" s="35">
        <v>46161.0</v>
      </c>
      <c r="G13" s="46">
        <v>46164.0</v>
      </c>
      <c r="H13" s="47">
        <v>260.0</v>
      </c>
      <c r="I13" s="37">
        <v>21875.0</v>
      </c>
      <c r="J13" s="38">
        <f t="shared" si="1"/>
        <v>5687500</v>
      </c>
      <c r="K13" s="39">
        <v>40.0</v>
      </c>
      <c r="L13" s="37">
        <v>5000.0</v>
      </c>
      <c r="M13" s="38">
        <f t="shared" si="2"/>
        <v>200000</v>
      </c>
      <c r="N13" s="41">
        <v>0.0</v>
      </c>
      <c r="O13" s="41">
        <v>0.0</v>
      </c>
      <c r="P13" s="42">
        <v>0.0</v>
      </c>
      <c r="Q13" s="48">
        <v>5887500.0</v>
      </c>
      <c r="R13" s="44">
        <f t="shared" si="3"/>
        <v>5887500</v>
      </c>
      <c r="S13" s="45">
        <f t="shared" si="4"/>
        <v>0</v>
      </c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</row>
    <row r="14" ht="30.0" customHeight="1">
      <c r="A14" s="16"/>
      <c r="B14" s="49" t="s">
        <v>44</v>
      </c>
      <c r="C14" s="49"/>
      <c r="D14" s="50"/>
      <c r="E14" s="51"/>
      <c r="F14" s="51"/>
      <c r="G14" s="52">
        <v>46167.0</v>
      </c>
      <c r="H14" s="53">
        <v>200.0</v>
      </c>
      <c r="I14" s="54"/>
      <c r="J14" s="55">
        <f>SUM(J5:J13)</f>
        <v>36968750</v>
      </c>
      <c r="K14" s="55"/>
      <c r="L14" s="55"/>
      <c r="M14" s="55">
        <f t="shared" ref="M14:Q14" si="5">SUM(M5:M13)</f>
        <v>250000</v>
      </c>
      <c r="N14" s="55">
        <f t="shared" si="5"/>
        <v>0</v>
      </c>
      <c r="O14" s="55">
        <f t="shared" si="5"/>
        <v>0</v>
      </c>
      <c r="P14" s="56">
        <f t="shared" si="5"/>
        <v>600000</v>
      </c>
      <c r="Q14" s="57">
        <f t="shared" si="5"/>
        <v>37818750</v>
      </c>
      <c r="R14" s="58">
        <f>SUM(J14:P14)</f>
        <v>37818750</v>
      </c>
      <c r="S14" s="58">
        <f t="shared" si="4"/>
        <v>0</v>
      </c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</row>
    <row r="15" ht="10.5" customHeight="1">
      <c r="A15" s="16"/>
      <c r="B15" s="59"/>
      <c r="C15" s="59"/>
      <c r="D15" s="59"/>
      <c r="E15" s="59"/>
      <c r="F15" s="59"/>
      <c r="G15" s="59"/>
      <c r="H15" s="60"/>
      <c r="I15" s="61"/>
      <c r="J15" s="61"/>
      <c r="K15" s="60"/>
      <c r="L15" s="61"/>
      <c r="M15" s="61"/>
      <c r="N15" s="60"/>
      <c r="O15" s="60"/>
      <c r="P15" s="61"/>
      <c r="Q15" s="62"/>
      <c r="R15" s="61"/>
      <c r="S15" s="63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</row>
    <row r="16" ht="34.5" customHeight="1">
      <c r="A16" s="16"/>
      <c r="B16" s="7" t="s">
        <v>2</v>
      </c>
      <c r="C16" s="7"/>
      <c r="D16" s="7"/>
      <c r="E16" s="7"/>
      <c r="F16" s="7"/>
      <c r="G16" s="8"/>
      <c r="H16" s="9" t="s">
        <v>3</v>
      </c>
      <c r="I16" s="10"/>
      <c r="J16" s="11"/>
      <c r="K16" s="12" t="s">
        <v>4</v>
      </c>
      <c r="L16" s="10"/>
      <c r="M16" s="11"/>
      <c r="N16" s="12" t="s">
        <v>5</v>
      </c>
      <c r="O16" s="10"/>
      <c r="P16" s="13"/>
      <c r="Q16" s="14" t="s">
        <v>6</v>
      </c>
      <c r="R16" s="10"/>
      <c r="S16" s="15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</row>
    <row r="17" ht="34.5" customHeight="1">
      <c r="A17" s="16"/>
      <c r="B17" s="17" t="s">
        <v>7</v>
      </c>
      <c r="C17" s="17" t="s">
        <v>8</v>
      </c>
      <c r="D17" s="17" t="s">
        <v>9</v>
      </c>
      <c r="E17" s="17" t="s">
        <v>10</v>
      </c>
      <c r="F17" s="17" t="s">
        <v>11</v>
      </c>
      <c r="G17" s="18" t="s">
        <v>12</v>
      </c>
      <c r="H17" s="19" t="s">
        <v>13</v>
      </c>
      <c r="I17" s="20" t="s">
        <v>14</v>
      </c>
      <c r="J17" s="20" t="s">
        <v>15</v>
      </c>
      <c r="K17" s="17" t="s">
        <v>16</v>
      </c>
      <c r="L17" s="17" t="s">
        <v>17</v>
      </c>
      <c r="M17" s="17" t="s">
        <v>18</v>
      </c>
      <c r="N17" s="17" t="s">
        <v>19</v>
      </c>
      <c r="O17" s="17" t="s">
        <v>20</v>
      </c>
      <c r="P17" s="21" t="s">
        <v>21</v>
      </c>
      <c r="Q17" s="22" t="s">
        <v>22</v>
      </c>
      <c r="R17" s="23" t="s">
        <v>23</v>
      </c>
      <c r="S17" s="24" t="s">
        <v>24</v>
      </c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</row>
    <row r="18" ht="30.0" customHeight="1">
      <c r="A18" s="16"/>
      <c r="B18" s="25" t="s">
        <v>45</v>
      </c>
      <c r="C18" s="25"/>
      <c r="D18" s="25"/>
      <c r="E18" s="26"/>
      <c r="F18" s="26"/>
      <c r="G18" s="27"/>
      <c r="H18" s="28"/>
      <c r="I18" s="29"/>
      <c r="J18" s="29"/>
      <c r="K18" s="29"/>
      <c r="L18" s="29"/>
      <c r="M18" s="29"/>
      <c r="N18" s="29"/>
      <c r="O18" s="29"/>
      <c r="P18" s="30"/>
      <c r="Q18" s="31"/>
      <c r="R18" s="32"/>
      <c r="S18" s="32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</row>
    <row r="19" ht="30.0" customHeight="1">
      <c r="A19" s="16"/>
      <c r="B19" s="33" t="s">
        <v>46</v>
      </c>
      <c r="C19" s="33" t="s">
        <v>47</v>
      </c>
      <c r="D19" s="34" t="s">
        <v>28</v>
      </c>
      <c r="E19" s="64">
        <v>46165.0</v>
      </c>
      <c r="F19" s="64">
        <v>46165.0</v>
      </c>
      <c r="G19" s="65">
        <v>46167.0</v>
      </c>
      <c r="H19" s="47">
        <v>200.0</v>
      </c>
      <c r="I19" s="37">
        <v>21875.0</v>
      </c>
      <c r="J19" s="38">
        <f t="shared" ref="J19:J27" si="6">H19*I19</f>
        <v>4375000</v>
      </c>
      <c r="K19" s="39">
        <v>0.0</v>
      </c>
      <c r="L19" s="37">
        <v>0.0</v>
      </c>
      <c r="M19" s="38">
        <f t="shared" ref="M19:M27" si="7">K19*L19</f>
        <v>0</v>
      </c>
      <c r="N19" s="41">
        <v>0.0</v>
      </c>
      <c r="O19" s="41">
        <v>0.0</v>
      </c>
      <c r="P19" s="42">
        <v>100000.0</v>
      </c>
      <c r="Q19" s="66">
        <v>4475000.0</v>
      </c>
      <c r="R19" s="44">
        <f t="shared" ref="R19:R27" si="8">J19+M19+N19+O19+P19</f>
        <v>4475000</v>
      </c>
      <c r="S19" s="45">
        <f t="shared" ref="S19:S28" si="9">R19-Q19</f>
        <v>0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ht="30.0" customHeight="1">
      <c r="A20" s="16"/>
      <c r="B20" s="67" t="s">
        <v>48</v>
      </c>
      <c r="C20" s="67"/>
      <c r="D20" s="34" t="s">
        <v>28</v>
      </c>
      <c r="E20" s="68"/>
      <c r="F20" s="68"/>
      <c r="G20" s="69"/>
      <c r="H20" s="70"/>
      <c r="I20" s="71"/>
      <c r="J20" s="38">
        <f t="shared" si="6"/>
        <v>0</v>
      </c>
      <c r="K20" s="72"/>
      <c r="L20" s="71"/>
      <c r="M20" s="38">
        <f t="shared" si="7"/>
        <v>0</v>
      </c>
      <c r="N20" s="73"/>
      <c r="O20" s="73"/>
      <c r="P20" s="74"/>
      <c r="Q20" s="75"/>
      <c r="R20" s="44">
        <f t="shared" si="8"/>
        <v>0</v>
      </c>
      <c r="S20" s="45">
        <f t="shared" si="9"/>
        <v>0</v>
      </c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</row>
    <row r="21" ht="30.0" customHeight="1">
      <c r="A21" s="16"/>
      <c r="B21" s="67" t="s">
        <v>48</v>
      </c>
      <c r="C21" s="67"/>
      <c r="D21" s="34" t="s">
        <v>28</v>
      </c>
      <c r="E21" s="68"/>
      <c r="F21" s="68"/>
      <c r="G21" s="69"/>
      <c r="H21" s="70"/>
      <c r="I21" s="71"/>
      <c r="J21" s="38">
        <f t="shared" si="6"/>
        <v>0</v>
      </c>
      <c r="K21" s="72"/>
      <c r="L21" s="71"/>
      <c r="M21" s="38">
        <f t="shared" si="7"/>
        <v>0</v>
      </c>
      <c r="N21" s="73"/>
      <c r="O21" s="73"/>
      <c r="P21" s="74"/>
      <c r="Q21" s="75"/>
      <c r="R21" s="44">
        <f t="shared" si="8"/>
        <v>0</v>
      </c>
      <c r="S21" s="45">
        <f t="shared" si="9"/>
        <v>0</v>
      </c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</row>
    <row r="22" ht="30.0" customHeight="1">
      <c r="A22" s="16"/>
      <c r="B22" s="67" t="s">
        <v>48</v>
      </c>
      <c r="C22" s="67"/>
      <c r="D22" s="34" t="s">
        <v>28</v>
      </c>
      <c r="E22" s="68"/>
      <c r="F22" s="68"/>
      <c r="G22" s="69"/>
      <c r="H22" s="70"/>
      <c r="I22" s="71"/>
      <c r="J22" s="38">
        <f t="shared" si="6"/>
        <v>0</v>
      </c>
      <c r="K22" s="72"/>
      <c r="L22" s="71"/>
      <c r="M22" s="38">
        <f t="shared" si="7"/>
        <v>0</v>
      </c>
      <c r="N22" s="73"/>
      <c r="O22" s="73"/>
      <c r="P22" s="74"/>
      <c r="Q22" s="75"/>
      <c r="R22" s="44">
        <f t="shared" si="8"/>
        <v>0</v>
      </c>
      <c r="S22" s="45">
        <f t="shared" si="9"/>
        <v>0</v>
      </c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</row>
    <row r="23" ht="30.0" customHeight="1">
      <c r="A23" s="16"/>
      <c r="B23" s="67" t="s">
        <v>48</v>
      </c>
      <c r="C23" s="67"/>
      <c r="D23" s="34" t="s">
        <v>28</v>
      </c>
      <c r="E23" s="68"/>
      <c r="F23" s="68"/>
      <c r="G23" s="69"/>
      <c r="H23" s="70"/>
      <c r="I23" s="71"/>
      <c r="J23" s="38">
        <f t="shared" si="6"/>
        <v>0</v>
      </c>
      <c r="K23" s="72"/>
      <c r="L23" s="71"/>
      <c r="M23" s="38">
        <f t="shared" si="7"/>
        <v>0</v>
      </c>
      <c r="N23" s="73"/>
      <c r="O23" s="73"/>
      <c r="P23" s="74"/>
      <c r="Q23" s="75"/>
      <c r="R23" s="44">
        <f t="shared" si="8"/>
        <v>0</v>
      </c>
      <c r="S23" s="45">
        <f t="shared" si="9"/>
        <v>0</v>
      </c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</row>
    <row r="24" ht="30.0" customHeight="1">
      <c r="A24" s="16"/>
      <c r="B24" s="67" t="s">
        <v>48</v>
      </c>
      <c r="C24" s="67"/>
      <c r="D24" s="34" t="s">
        <v>28</v>
      </c>
      <c r="E24" s="68"/>
      <c r="F24" s="68"/>
      <c r="G24" s="69"/>
      <c r="H24" s="70"/>
      <c r="I24" s="71"/>
      <c r="J24" s="38">
        <f t="shared" si="6"/>
        <v>0</v>
      </c>
      <c r="K24" s="72"/>
      <c r="L24" s="71"/>
      <c r="M24" s="38">
        <f t="shared" si="7"/>
        <v>0</v>
      </c>
      <c r="N24" s="73"/>
      <c r="O24" s="73"/>
      <c r="P24" s="74"/>
      <c r="Q24" s="75"/>
      <c r="R24" s="44">
        <f t="shared" si="8"/>
        <v>0</v>
      </c>
      <c r="S24" s="45">
        <f t="shared" si="9"/>
        <v>0</v>
      </c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</row>
    <row r="25" ht="30.0" customHeight="1">
      <c r="A25" s="16"/>
      <c r="B25" s="67" t="s">
        <v>48</v>
      </c>
      <c r="C25" s="67"/>
      <c r="D25" s="34" t="s">
        <v>28</v>
      </c>
      <c r="E25" s="68"/>
      <c r="F25" s="68"/>
      <c r="G25" s="69"/>
      <c r="H25" s="70"/>
      <c r="I25" s="71"/>
      <c r="J25" s="38">
        <f t="shared" si="6"/>
        <v>0</v>
      </c>
      <c r="K25" s="72"/>
      <c r="L25" s="71"/>
      <c r="M25" s="38">
        <f t="shared" si="7"/>
        <v>0</v>
      </c>
      <c r="N25" s="73"/>
      <c r="O25" s="73"/>
      <c r="P25" s="74"/>
      <c r="Q25" s="75"/>
      <c r="R25" s="44">
        <f t="shared" si="8"/>
        <v>0</v>
      </c>
      <c r="S25" s="45">
        <f t="shared" si="9"/>
        <v>0</v>
      </c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</row>
    <row r="26" ht="30.0" customHeight="1">
      <c r="A26" s="16"/>
      <c r="B26" s="67" t="s">
        <v>48</v>
      </c>
      <c r="C26" s="67"/>
      <c r="D26" s="34" t="s">
        <v>28</v>
      </c>
      <c r="E26" s="68"/>
      <c r="F26" s="68"/>
      <c r="G26" s="69"/>
      <c r="H26" s="70"/>
      <c r="I26" s="71"/>
      <c r="J26" s="38">
        <f t="shared" si="6"/>
        <v>0</v>
      </c>
      <c r="K26" s="72"/>
      <c r="L26" s="71"/>
      <c r="M26" s="38">
        <f t="shared" si="7"/>
        <v>0</v>
      </c>
      <c r="N26" s="73"/>
      <c r="O26" s="73"/>
      <c r="P26" s="74"/>
      <c r="Q26" s="75"/>
      <c r="R26" s="44">
        <f t="shared" si="8"/>
        <v>0</v>
      </c>
      <c r="S26" s="45">
        <f t="shared" si="9"/>
        <v>0</v>
      </c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</row>
    <row r="27" ht="30.0" customHeight="1">
      <c r="A27" s="16"/>
      <c r="B27" s="67" t="s">
        <v>48</v>
      </c>
      <c r="C27" s="67"/>
      <c r="D27" s="34" t="s">
        <v>28</v>
      </c>
      <c r="E27" s="68"/>
      <c r="F27" s="68"/>
      <c r="G27" s="69"/>
      <c r="H27" s="70"/>
      <c r="I27" s="71"/>
      <c r="J27" s="38">
        <f t="shared" si="6"/>
        <v>0</v>
      </c>
      <c r="K27" s="72"/>
      <c r="L27" s="71"/>
      <c r="M27" s="38">
        <f t="shared" si="7"/>
        <v>0</v>
      </c>
      <c r="N27" s="73"/>
      <c r="O27" s="73"/>
      <c r="P27" s="74"/>
      <c r="Q27" s="75"/>
      <c r="R27" s="44">
        <f t="shared" si="8"/>
        <v>0</v>
      </c>
      <c r="S27" s="45">
        <f t="shared" si="9"/>
        <v>0</v>
      </c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</row>
    <row r="28" ht="30.0" customHeight="1">
      <c r="A28" s="16"/>
      <c r="B28" s="49" t="s">
        <v>44</v>
      </c>
      <c r="C28" s="49"/>
      <c r="D28" s="50"/>
      <c r="E28" s="51"/>
      <c r="F28" s="51"/>
      <c r="G28" s="76"/>
      <c r="H28" s="77"/>
      <c r="I28" s="54"/>
      <c r="J28" s="55">
        <f>SUM(J19:J27)</f>
        <v>4375000</v>
      </c>
      <c r="K28" s="55"/>
      <c r="L28" s="55"/>
      <c r="M28" s="55">
        <f t="shared" ref="M28:Q28" si="10">SUM(M19:M27)</f>
        <v>0</v>
      </c>
      <c r="N28" s="55">
        <f t="shared" si="10"/>
        <v>0</v>
      </c>
      <c r="O28" s="55">
        <f t="shared" si="10"/>
        <v>0</v>
      </c>
      <c r="P28" s="56">
        <f t="shared" si="10"/>
        <v>100000</v>
      </c>
      <c r="Q28" s="57">
        <f t="shared" si="10"/>
        <v>4475000</v>
      </c>
      <c r="R28" s="58">
        <f>SUM(J28:P28)</f>
        <v>4475000</v>
      </c>
      <c r="S28" s="58">
        <f t="shared" si="9"/>
        <v>0</v>
      </c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</row>
    <row r="29" ht="21.0" customHeight="1">
      <c r="A29" s="5"/>
      <c r="B29" s="78"/>
      <c r="C29" s="78"/>
      <c r="D29" s="78"/>
      <c r="E29" s="78"/>
      <c r="F29" s="78"/>
      <c r="G29" s="78"/>
      <c r="H29" s="79"/>
      <c r="I29" s="80"/>
      <c r="J29" s="80"/>
      <c r="K29" s="79"/>
      <c r="L29" s="80"/>
      <c r="M29" s="80"/>
      <c r="N29" s="79"/>
      <c r="O29" s="79"/>
      <c r="P29" s="80"/>
      <c r="Q29" s="81"/>
      <c r="R29" s="80"/>
      <c r="S29" s="82"/>
      <c r="T29" s="5"/>
      <c r="U29" s="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</row>
    <row r="30" ht="13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</row>
    <row r="31" ht="13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</row>
    <row r="32" ht="13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</row>
    <row r="33" ht="13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</row>
    <row r="36" ht="13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</row>
    <row r="38" ht="1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</row>
    <row r="39" ht="13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</row>
    <row r="40" ht="13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</row>
    <row r="41" ht="13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</row>
    <row r="42" ht="1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</row>
    <row r="43" ht="13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</row>
    <row r="44" ht="1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</row>
    <row r="45" ht="1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</row>
    <row r="46" ht="1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</row>
    <row r="47" ht="1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</row>
    <row r="48" ht="1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</row>
    <row r="49" ht="1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</row>
    <row r="50" ht="1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</row>
    <row r="53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83"/>
      <c r="W75" s="83"/>
      <c r="X75" s="83"/>
      <c r="Y75" s="83"/>
      <c r="Z75" s="83"/>
      <c r="AA75" s="83"/>
      <c r="AB75" s="83"/>
      <c r="AC75" s="83"/>
      <c r="AD75" s="83"/>
      <c r="AE75" s="83"/>
      <c r="AF75" s="83"/>
      <c r="AG75" s="83"/>
      <c r="AH75" s="83"/>
      <c r="AI75" s="83"/>
      <c r="AJ75" s="83"/>
      <c r="AK75" s="83"/>
      <c r="AL75" s="83"/>
      <c r="AM75" s="83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  <c r="AG76" s="83"/>
      <c r="AH76" s="83"/>
      <c r="AI76" s="83"/>
      <c r="AJ76" s="83"/>
      <c r="AK76" s="83"/>
      <c r="AL76" s="83"/>
      <c r="AM76" s="83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83"/>
      <c r="W78" s="83"/>
      <c r="X78" s="83"/>
      <c r="Y78" s="83"/>
      <c r="Z78" s="83"/>
      <c r="AA78" s="83"/>
      <c r="AB78" s="83"/>
      <c r="AC78" s="83"/>
      <c r="AD78" s="83"/>
      <c r="AE78" s="83"/>
      <c r="AF78" s="83"/>
      <c r="AG78" s="83"/>
      <c r="AH78" s="83"/>
      <c r="AI78" s="83"/>
      <c r="AJ78" s="83"/>
      <c r="AK78" s="83"/>
      <c r="AL78" s="83"/>
      <c r="AM78" s="83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83"/>
      <c r="W79" s="83"/>
      <c r="X79" s="83"/>
      <c r="Y79" s="83"/>
      <c r="Z79" s="83"/>
      <c r="AA79" s="83"/>
      <c r="AB79" s="83"/>
      <c r="AC79" s="83"/>
      <c r="AD79" s="83"/>
      <c r="AE79" s="83"/>
      <c r="AF79" s="83"/>
      <c r="AG79" s="83"/>
      <c r="AH79" s="83"/>
      <c r="AI79" s="83"/>
      <c r="AJ79" s="83"/>
      <c r="AK79" s="83"/>
      <c r="AL79" s="83"/>
      <c r="AM79" s="83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3"/>
      <c r="AJ80" s="83"/>
      <c r="AK80" s="83"/>
      <c r="AL80" s="83"/>
      <c r="AM80" s="83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3"/>
      <c r="AJ81" s="83"/>
      <c r="AK81" s="83"/>
      <c r="AL81" s="83"/>
      <c r="AM81" s="83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3"/>
      <c r="AJ82" s="83"/>
      <c r="AK82" s="83"/>
      <c r="AL82" s="83"/>
      <c r="AM82" s="83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3"/>
      <c r="AJ83" s="83"/>
      <c r="AK83" s="83"/>
      <c r="AL83" s="83"/>
      <c r="AM83" s="83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3"/>
      <c r="AJ84" s="83"/>
      <c r="AK84" s="83"/>
      <c r="AL84" s="83"/>
      <c r="AM84" s="83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83"/>
      <c r="W85" s="83"/>
      <c r="X85" s="83"/>
      <c r="Y85" s="83"/>
      <c r="Z85" s="83"/>
      <c r="AA85" s="83"/>
      <c r="AB85" s="83"/>
      <c r="AC85" s="83"/>
      <c r="AD85" s="83"/>
      <c r="AE85" s="83"/>
      <c r="AF85" s="83"/>
      <c r="AG85" s="83"/>
      <c r="AH85" s="83"/>
      <c r="AI85" s="83"/>
      <c r="AJ85" s="83"/>
      <c r="AK85" s="83"/>
      <c r="AL85" s="83"/>
      <c r="AM85" s="83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83"/>
      <c r="W86" s="83"/>
      <c r="X86" s="83"/>
      <c r="Y86" s="83"/>
      <c r="Z86" s="83"/>
      <c r="AA86" s="83"/>
      <c r="AB86" s="83"/>
      <c r="AC86" s="83"/>
      <c r="AD86" s="83"/>
      <c r="AE86" s="83"/>
      <c r="AF86" s="83"/>
      <c r="AG86" s="83"/>
      <c r="AH86" s="83"/>
      <c r="AI86" s="83"/>
      <c r="AJ86" s="83"/>
      <c r="AK86" s="83"/>
      <c r="AL86" s="83"/>
      <c r="AM86" s="83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83"/>
      <c r="W87" s="83"/>
      <c r="X87" s="83"/>
      <c r="Y87" s="83"/>
      <c r="Z87" s="83"/>
      <c r="AA87" s="83"/>
      <c r="AB87" s="83"/>
      <c r="AC87" s="83"/>
      <c r="AD87" s="83"/>
      <c r="AE87" s="83"/>
      <c r="AF87" s="83"/>
      <c r="AG87" s="83"/>
      <c r="AH87" s="83"/>
      <c r="AI87" s="83"/>
      <c r="AJ87" s="83"/>
      <c r="AK87" s="83"/>
      <c r="AL87" s="83"/>
      <c r="AM87" s="83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83"/>
      <c r="W88" s="83"/>
      <c r="X88" s="83"/>
      <c r="Y88" s="83"/>
      <c r="Z88" s="83"/>
      <c r="AA88" s="83"/>
      <c r="AB88" s="83"/>
      <c r="AC88" s="83"/>
      <c r="AD88" s="83"/>
      <c r="AE88" s="83"/>
      <c r="AF88" s="83"/>
      <c r="AG88" s="83"/>
      <c r="AH88" s="83"/>
      <c r="AI88" s="83"/>
      <c r="AJ88" s="83"/>
      <c r="AK88" s="83"/>
      <c r="AL88" s="83"/>
      <c r="AM88" s="83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3"/>
      <c r="AH89" s="83"/>
      <c r="AI89" s="83"/>
      <c r="AJ89" s="83"/>
      <c r="AK89" s="83"/>
      <c r="AL89" s="83"/>
      <c r="AM89" s="83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83"/>
      <c r="W90" s="83"/>
      <c r="X90" s="83"/>
      <c r="Y90" s="83"/>
      <c r="Z90" s="83"/>
      <c r="AA90" s="83"/>
      <c r="AB90" s="83"/>
      <c r="AC90" s="83"/>
      <c r="AD90" s="83"/>
      <c r="AE90" s="83"/>
      <c r="AF90" s="83"/>
      <c r="AG90" s="83"/>
      <c r="AH90" s="83"/>
      <c r="AI90" s="83"/>
      <c r="AJ90" s="83"/>
      <c r="AK90" s="83"/>
      <c r="AL90" s="83"/>
      <c r="AM90" s="83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83"/>
      <c r="W91" s="83"/>
      <c r="X91" s="83"/>
      <c r="Y91" s="83"/>
      <c r="Z91" s="83"/>
      <c r="AA91" s="83"/>
      <c r="AB91" s="83"/>
      <c r="AC91" s="83"/>
      <c r="AD91" s="83"/>
      <c r="AE91" s="83"/>
      <c r="AF91" s="83"/>
      <c r="AG91" s="83"/>
      <c r="AH91" s="83"/>
      <c r="AI91" s="83"/>
      <c r="AJ91" s="83"/>
      <c r="AK91" s="83"/>
      <c r="AL91" s="83"/>
      <c r="AM91" s="83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83"/>
      <c r="W92" s="83"/>
      <c r="X92" s="83"/>
      <c r="Y92" s="83"/>
      <c r="Z92" s="83"/>
      <c r="AA92" s="83"/>
      <c r="AB92" s="83"/>
      <c r="AC92" s="83"/>
      <c r="AD92" s="83"/>
      <c r="AE92" s="83"/>
      <c r="AF92" s="83"/>
      <c r="AG92" s="83"/>
      <c r="AH92" s="83"/>
      <c r="AI92" s="83"/>
      <c r="AJ92" s="83"/>
      <c r="AK92" s="83"/>
      <c r="AL92" s="83"/>
      <c r="AM92" s="83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83"/>
      <c r="W93" s="83"/>
      <c r="X93" s="83"/>
      <c r="Y93" s="83"/>
      <c r="Z93" s="83"/>
      <c r="AA93" s="83"/>
      <c r="AB93" s="83"/>
      <c r="AC93" s="83"/>
      <c r="AD93" s="83"/>
      <c r="AE93" s="83"/>
      <c r="AF93" s="83"/>
      <c r="AG93" s="83"/>
      <c r="AH93" s="83"/>
      <c r="AI93" s="83"/>
      <c r="AJ93" s="83"/>
      <c r="AK93" s="83"/>
      <c r="AL93" s="83"/>
      <c r="AM93" s="83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83"/>
      <c r="W94" s="83"/>
      <c r="X94" s="83"/>
      <c r="Y94" s="83"/>
      <c r="Z94" s="83"/>
      <c r="AA94" s="83"/>
      <c r="AB94" s="83"/>
      <c r="AC94" s="83"/>
      <c r="AD94" s="83"/>
      <c r="AE94" s="83"/>
      <c r="AF94" s="83"/>
      <c r="AG94" s="83"/>
      <c r="AH94" s="83"/>
      <c r="AI94" s="83"/>
      <c r="AJ94" s="83"/>
      <c r="AK94" s="83"/>
      <c r="AL94" s="83"/>
      <c r="AM94" s="83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83"/>
      <c r="W95" s="83"/>
      <c r="X95" s="83"/>
      <c r="Y95" s="83"/>
      <c r="Z95" s="83"/>
      <c r="AA95" s="83"/>
      <c r="AB95" s="83"/>
      <c r="AC95" s="83"/>
      <c r="AD95" s="83"/>
      <c r="AE95" s="83"/>
      <c r="AF95" s="83"/>
      <c r="AG95" s="83"/>
      <c r="AH95" s="83"/>
      <c r="AI95" s="83"/>
      <c r="AJ95" s="83"/>
      <c r="AK95" s="83"/>
      <c r="AL95" s="83"/>
      <c r="AM95" s="83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83"/>
      <c r="W96" s="83"/>
      <c r="X96" s="83"/>
      <c r="Y96" s="83"/>
      <c r="Z96" s="83"/>
      <c r="AA96" s="83"/>
      <c r="AB96" s="83"/>
      <c r="AC96" s="83"/>
      <c r="AD96" s="83"/>
      <c r="AE96" s="83"/>
      <c r="AF96" s="83"/>
      <c r="AG96" s="83"/>
      <c r="AH96" s="83"/>
      <c r="AI96" s="83"/>
      <c r="AJ96" s="83"/>
      <c r="AK96" s="83"/>
      <c r="AL96" s="83"/>
      <c r="AM96" s="83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83"/>
      <c r="W97" s="83"/>
      <c r="X97" s="83"/>
      <c r="Y97" s="83"/>
      <c r="Z97" s="83"/>
      <c r="AA97" s="83"/>
      <c r="AB97" s="83"/>
      <c r="AC97" s="83"/>
      <c r="AD97" s="83"/>
      <c r="AE97" s="83"/>
      <c r="AF97" s="83"/>
      <c r="AG97" s="83"/>
      <c r="AH97" s="83"/>
      <c r="AI97" s="83"/>
      <c r="AJ97" s="83"/>
      <c r="AK97" s="83"/>
      <c r="AL97" s="83"/>
      <c r="AM97" s="83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83"/>
      <c r="W98" s="83"/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3"/>
      <c r="AL98" s="83"/>
      <c r="AM98" s="83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3"/>
      <c r="AH99" s="83"/>
      <c r="AI99" s="83"/>
      <c r="AJ99" s="83"/>
      <c r="AK99" s="83"/>
      <c r="AL99" s="83"/>
      <c r="AM99" s="83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83"/>
      <c r="W100" s="83"/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3"/>
      <c r="AL100" s="83"/>
      <c r="AM100" s="83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83"/>
      <c r="W101" s="83"/>
      <c r="X101" s="83"/>
      <c r="Y101" s="83"/>
      <c r="Z101" s="83"/>
      <c r="AA101" s="83"/>
      <c r="AB101" s="83"/>
      <c r="AC101" s="83"/>
      <c r="AD101" s="83"/>
      <c r="AE101" s="83"/>
      <c r="AF101" s="83"/>
      <c r="AG101" s="83"/>
      <c r="AH101" s="83"/>
      <c r="AI101" s="83"/>
      <c r="AJ101" s="83"/>
      <c r="AK101" s="83"/>
      <c r="AL101" s="83"/>
      <c r="AM101" s="83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83"/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83"/>
      <c r="W105" s="83"/>
      <c r="X105" s="83"/>
      <c r="Y105" s="83"/>
      <c r="Z105" s="83"/>
      <c r="AA105" s="83"/>
      <c r="AB105" s="83"/>
      <c r="AC105" s="83"/>
      <c r="AD105" s="83"/>
      <c r="AE105" s="83"/>
      <c r="AF105" s="83"/>
      <c r="AG105" s="83"/>
      <c r="AH105" s="83"/>
      <c r="AI105" s="83"/>
      <c r="AJ105" s="83"/>
      <c r="AK105" s="83"/>
      <c r="AL105" s="83"/>
      <c r="AM105" s="83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83"/>
      <c r="W106" s="83"/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3"/>
      <c r="AL106" s="83"/>
      <c r="AM106" s="83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83"/>
      <c r="W107" s="83"/>
      <c r="X107" s="83"/>
      <c r="Y107" s="83"/>
      <c r="Z107" s="83"/>
      <c r="AA107" s="83"/>
      <c r="AB107" s="83"/>
      <c r="AC107" s="83"/>
      <c r="AD107" s="83"/>
      <c r="AE107" s="83"/>
      <c r="AF107" s="83"/>
      <c r="AG107" s="83"/>
      <c r="AH107" s="83"/>
      <c r="AI107" s="83"/>
      <c r="AJ107" s="83"/>
      <c r="AK107" s="83"/>
      <c r="AL107" s="83"/>
      <c r="AM107" s="83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83"/>
      <c r="W108" s="83"/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3"/>
      <c r="AL108" s="83"/>
      <c r="AM108" s="83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83"/>
      <c r="W109" s="83"/>
      <c r="X109" s="83"/>
      <c r="Y109" s="83"/>
      <c r="Z109" s="83"/>
      <c r="AA109" s="83"/>
      <c r="AB109" s="83"/>
      <c r="AC109" s="83"/>
      <c r="AD109" s="83"/>
      <c r="AE109" s="83"/>
      <c r="AF109" s="83"/>
      <c r="AG109" s="83"/>
      <c r="AH109" s="83"/>
      <c r="AI109" s="83"/>
      <c r="AJ109" s="83"/>
      <c r="AK109" s="83"/>
      <c r="AL109" s="83"/>
      <c r="AM109" s="83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83"/>
      <c r="W110" s="83"/>
      <c r="X110" s="83"/>
      <c r="Y110" s="83"/>
      <c r="Z110" s="83"/>
      <c r="AA110" s="83"/>
      <c r="AB110" s="83"/>
      <c r="AC110" s="83"/>
      <c r="AD110" s="83"/>
      <c r="AE110" s="83"/>
      <c r="AF110" s="83"/>
      <c r="AG110" s="83"/>
      <c r="AH110" s="83"/>
      <c r="AI110" s="83"/>
      <c r="AJ110" s="83"/>
      <c r="AK110" s="83"/>
      <c r="AL110" s="83"/>
      <c r="AM110" s="83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83"/>
      <c r="W111" s="83"/>
      <c r="X111" s="83"/>
      <c r="Y111" s="83"/>
      <c r="Z111" s="83"/>
      <c r="AA111" s="83"/>
      <c r="AB111" s="83"/>
      <c r="AC111" s="83"/>
      <c r="AD111" s="83"/>
      <c r="AE111" s="83"/>
      <c r="AF111" s="83"/>
      <c r="AG111" s="83"/>
      <c r="AH111" s="83"/>
      <c r="AI111" s="83"/>
      <c r="AJ111" s="83"/>
      <c r="AK111" s="83"/>
      <c r="AL111" s="83"/>
      <c r="AM111" s="83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83"/>
      <c r="W113" s="83"/>
      <c r="X113" s="83"/>
      <c r="Y113" s="83"/>
      <c r="Z113" s="83"/>
      <c r="AA113" s="83"/>
      <c r="AB113" s="83"/>
      <c r="AC113" s="83"/>
      <c r="AD113" s="83"/>
      <c r="AE113" s="83"/>
      <c r="AF113" s="83"/>
      <c r="AG113" s="83"/>
      <c r="AH113" s="83"/>
      <c r="AI113" s="83"/>
      <c r="AJ113" s="83"/>
      <c r="AK113" s="83"/>
      <c r="AL113" s="83"/>
      <c r="AM113" s="83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83"/>
      <c r="W114" s="83"/>
      <c r="X114" s="83"/>
      <c r="Y114" s="83"/>
      <c r="Z114" s="83"/>
      <c r="AA114" s="83"/>
      <c r="AB114" s="83"/>
      <c r="AC114" s="83"/>
      <c r="AD114" s="83"/>
      <c r="AE114" s="83"/>
      <c r="AF114" s="83"/>
      <c r="AG114" s="83"/>
      <c r="AH114" s="83"/>
      <c r="AI114" s="83"/>
      <c r="AJ114" s="83"/>
      <c r="AK114" s="83"/>
      <c r="AL114" s="83"/>
      <c r="AM114" s="83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83"/>
      <c r="W115" s="83"/>
      <c r="X115" s="83"/>
      <c r="Y115" s="83"/>
      <c r="Z115" s="83"/>
      <c r="AA115" s="83"/>
      <c r="AB115" s="83"/>
      <c r="AC115" s="83"/>
      <c r="AD115" s="83"/>
      <c r="AE115" s="83"/>
      <c r="AF115" s="83"/>
      <c r="AG115" s="83"/>
      <c r="AH115" s="83"/>
      <c r="AI115" s="83"/>
      <c r="AJ115" s="83"/>
      <c r="AK115" s="83"/>
      <c r="AL115" s="83"/>
      <c r="AM115" s="83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83"/>
      <c r="W118" s="83"/>
      <c r="X118" s="83"/>
      <c r="Y118" s="83"/>
      <c r="Z118" s="83"/>
      <c r="AA118" s="83"/>
      <c r="AB118" s="83"/>
      <c r="AC118" s="83"/>
      <c r="AD118" s="83"/>
      <c r="AE118" s="83"/>
      <c r="AF118" s="83"/>
      <c r="AG118" s="83"/>
      <c r="AH118" s="83"/>
      <c r="AI118" s="83"/>
      <c r="AJ118" s="83"/>
      <c r="AK118" s="83"/>
      <c r="AL118" s="83"/>
      <c r="AM118" s="83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83"/>
      <c r="W119" s="83"/>
      <c r="X119" s="83"/>
      <c r="Y119" s="83"/>
      <c r="Z119" s="83"/>
      <c r="AA119" s="83"/>
      <c r="AB119" s="83"/>
      <c r="AC119" s="83"/>
      <c r="AD119" s="83"/>
      <c r="AE119" s="83"/>
      <c r="AF119" s="83"/>
      <c r="AG119" s="83"/>
      <c r="AH119" s="83"/>
      <c r="AI119" s="83"/>
      <c r="AJ119" s="83"/>
      <c r="AK119" s="83"/>
      <c r="AL119" s="83"/>
      <c r="AM119" s="83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83"/>
      <c r="W120" s="83"/>
      <c r="X120" s="83"/>
      <c r="Y120" s="83"/>
      <c r="Z120" s="83"/>
      <c r="AA120" s="83"/>
      <c r="AB120" s="83"/>
      <c r="AC120" s="83"/>
      <c r="AD120" s="83"/>
      <c r="AE120" s="83"/>
      <c r="AF120" s="83"/>
      <c r="AG120" s="83"/>
      <c r="AH120" s="83"/>
      <c r="AI120" s="83"/>
      <c r="AJ120" s="83"/>
      <c r="AK120" s="83"/>
      <c r="AL120" s="83"/>
      <c r="AM120" s="83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83"/>
      <c r="W121" s="83"/>
      <c r="X121" s="83"/>
      <c r="Y121" s="83"/>
      <c r="Z121" s="83"/>
      <c r="AA121" s="83"/>
      <c r="AB121" s="83"/>
      <c r="AC121" s="83"/>
      <c r="AD121" s="83"/>
      <c r="AE121" s="83"/>
      <c r="AF121" s="83"/>
      <c r="AG121" s="83"/>
      <c r="AH121" s="83"/>
      <c r="AI121" s="83"/>
      <c r="AJ121" s="83"/>
      <c r="AK121" s="83"/>
      <c r="AL121" s="83"/>
      <c r="AM121" s="83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83"/>
      <c r="W122" s="83"/>
      <c r="X122" s="83"/>
      <c r="Y122" s="83"/>
      <c r="Z122" s="83"/>
      <c r="AA122" s="83"/>
      <c r="AB122" s="83"/>
      <c r="AC122" s="83"/>
      <c r="AD122" s="83"/>
      <c r="AE122" s="83"/>
      <c r="AF122" s="83"/>
      <c r="AG122" s="83"/>
      <c r="AH122" s="83"/>
      <c r="AI122" s="83"/>
      <c r="AJ122" s="83"/>
      <c r="AK122" s="83"/>
      <c r="AL122" s="83"/>
      <c r="AM122" s="83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83"/>
      <c r="W123" s="83"/>
      <c r="X123" s="83"/>
      <c r="Y123" s="83"/>
      <c r="Z123" s="83"/>
      <c r="AA123" s="83"/>
      <c r="AB123" s="83"/>
      <c r="AC123" s="83"/>
      <c r="AD123" s="83"/>
      <c r="AE123" s="83"/>
      <c r="AF123" s="83"/>
      <c r="AG123" s="83"/>
      <c r="AH123" s="83"/>
      <c r="AI123" s="83"/>
      <c r="AJ123" s="83"/>
      <c r="AK123" s="83"/>
      <c r="AL123" s="83"/>
      <c r="AM123" s="83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83"/>
      <c r="W124" s="83"/>
      <c r="X124" s="83"/>
      <c r="Y124" s="83"/>
      <c r="Z124" s="83"/>
      <c r="AA124" s="83"/>
      <c r="AB124" s="83"/>
      <c r="AC124" s="83"/>
      <c r="AD124" s="83"/>
      <c r="AE124" s="83"/>
      <c r="AF124" s="83"/>
      <c r="AG124" s="83"/>
      <c r="AH124" s="83"/>
      <c r="AI124" s="83"/>
      <c r="AJ124" s="83"/>
      <c r="AK124" s="83"/>
      <c r="AL124" s="83"/>
      <c r="AM124" s="83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83"/>
      <c r="W125" s="83"/>
      <c r="X125" s="83"/>
      <c r="Y125" s="83"/>
      <c r="Z125" s="83"/>
      <c r="AA125" s="83"/>
      <c r="AB125" s="83"/>
      <c r="AC125" s="83"/>
      <c r="AD125" s="83"/>
      <c r="AE125" s="83"/>
      <c r="AF125" s="83"/>
      <c r="AG125" s="83"/>
      <c r="AH125" s="83"/>
      <c r="AI125" s="83"/>
      <c r="AJ125" s="83"/>
      <c r="AK125" s="83"/>
      <c r="AL125" s="83"/>
      <c r="AM125" s="83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83"/>
      <c r="W126" s="83"/>
      <c r="X126" s="83"/>
      <c r="Y126" s="83"/>
      <c r="Z126" s="83"/>
      <c r="AA126" s="83"/>
      <c r="AB126" s="83"/>
      <c r="AC126" s="83"/>
      <c r="AD126" s="83"/>
      <c r="AE126" s="83"/>
      <c r="AF126" s="83"/>
      <c r="AG126" s="83"/>
      <c r="AH126" s="83"/>
      <c r="AI126" s="83"/>
      <c r="AJ126" s="83"/>
      <c r="AK126" s="83"/>
      <c r="AL126" s="83"/>
      <c r="AM126" s="83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83"/>
      <c r="W127" s="83"/>
      <c r="X127" s="83"/>
      <c r="Y127" s="83"/>
      <c r="Z127" s="83"/>
      <c r="AA127" s="83"/>
      <c r="AB127" s="83"/>
      <c r="AC127" s="83"/>
      <c r="AD127" s="83"/>
      <c r="AE127" s="83"/>
      <c r="AF127" s="83"/>
      <c r="AG127" s="83"/>
      <c r="AH127" s="83"/>
      <c r="AI127" s="83"/>
      <c r="AJ127" s="83"/>
      <c r="AK127" s="83"/>
      <c r="AL127" s="83"/>
      <c r="AM127" s="83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83"/>
      <c r="W129" s="83"/>
      <c r="X129" s="83"/>
      <c r="Y129" s="83"/>
      <c r="Z129" s="83"/>
      <c r="AA129" s="83"/>
      <c r="AB129" s="83"/>
      <c r="AC129" s="83"/>
      <c r="AD129" s="83"/>
      <c r="AE129" s="83"/>
      <c r="AF129" s="83"/>
      <c r="AG129" s="83"/>
      <c r="AH129" s="83"/>
      <c r="AI129" s="83"/>
      <c r="AJ129" s="83"/>
      <c r="AK129" s="83"/>
      <c r="AL129" s="83"/>
      <c r="AM129" s="83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83"/>
      <c r="W130" s="83"/>
      <c r="X130" s="83"/>
      <c r="Y130" s="83"/>
      <c r="Z130" s="83"/>
      <c r="AA130" s="83"/>
      <c r="AB130" s="83"/>
      <c r="AC130" s="83"/>
      <c r="AD130" s="83"/>
      <c r="AE130" s="83"/>
      <c r="AF130" s="83"/>
      <c r="AG130" s="83"/>
      <c r="AH130" s="83"/>
      <c r="AI130" s="83"/>
      <c r="AJ130" s="83"/>
      <c r="AK130" s="83"/>
      <c r="AL130" s="83"/>
      <c r="AM130" s="83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83"/>
      <c r="W131" s="83"/>
      <c r="X131" s="83"/>
      <c r="Y131" s="83"/>
      <c r="Z131" s="83"/>
      <c r="AA131" s="83"/>
      <c r="AB131" s="83"/>
      <c r="AC131" s="83"/>
      <c r="AD131" s="83"/>
      <c r="AE131" s="83"/>
      <c r="AF131" s="83"/>
      <c r="AG131" s="83"/>
      <c r="AH131" s="83"/>
      <c r="AI131" s="83"/>
      <c r="AJ131" s="83"/>
      <c r="AK131" s="83"/>
      <c r="AL131" s="83"/>
      <c r="AM131" s="83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83"/>
      <c r="W132" s="83"/>
      <c r="X132" s="83"/>
      <c r="Y132" s="83"/>
      <c r="Z132" s="83"/>
      <c r="AA132" s="83"/>
      <c r="AB132" s="83"/>
      <c r="AC132" s="83"/>
      <c r="AD132" s="83"/>
      <c r="AE132" s="83"/>
      <c r="AF132" s="83"/>
      <c r="AG132" s="83"/>
      <c r="AH132" s="83"/>
      <c r="AI132" s="83"/>
      <c r="AJ132" s="83"/>
      <c r="AK132" s="83"/>
      <c r="AL132" s="83"/>
      <c r="AM132" s="83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3"/>
      <c r="AH133" s="83"/>
      <c r="AI133" s="83"/>
      <c r="AJ133" s="83"/>
      <c r="AK133" s="83"/>
      <c r="AL133" s="83"/>
      <c r="AM133" s="83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83"/>
      <c r="W134" s="83"/>
      <c r="X134" s="83"/>
      <c r="Y134" s="83"/>
      <c r="Z134" s="83"/>
      <c r="AA134" s="83"/>
      <c r="AB134" s="83"/>
      <c r="AC134" s="83"/>
      <c r="AD134" s="83"/>
      <c r="AE134" s="83"/>
      <c r="AF134" s="83"/>
      <c r="AG134" s="83"/>
      <c r="AH134" s="83"/>
      <c r="AI134" s="83"/>
      <c r="AJ134" s="83"/>
      <c r="AK134" s="83"/>
      <c r="AL134" s="83"/>
      <c r="AM134" s="83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83"/>
      <c r="W135" s="83"/>
      <c r="X135" s="83"/>
      <c r="Y135" s="83"/>
      <c r="Z135" s="83"/>
      <c r="AA135" s="83"/>
      <c r="AB135" s="83"/>
      <c r="AC135" s="83"/>
      <c r="AD135" s="83"/>
      <c r="AE135" s="83"/>
      <c r="AF135" s="83"/>
      <c r="AG135" s="83"/>
      <c r="AH135" s="83"/>
      <c r="AI135" s="83"/>
      <c r="AJ135" s="83"/>
      <c r="AK135" s="83"/>
      <c r="AL135" s="83"/>
      <c r="AM135" s="83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83"/>
      <c r="W136" s="83"/>
      <c r="X136" s="83"/>
      <c r="Y136" s="83"/>
      <c r="Z136" s="83"/>
      <c r="AA136" s="83"/>
      <c r="AB136" s="83"/>
      <c r="AC136" s="83"/>
      <c r="AD136" s="83"/>
      <c r="AE136" s="83"/>
      <c r="AF136" s="83"/>
      <c r="AG136" s="83"/>
      <c r="AH136" s="83"/>
      <c r="AI136" s="83"/>
      <c r="AJ136" s="83"/>
      <c r="AK136" s="83"/>
      <c r="AL136" s="83"/>
      <c r="AM136" s="83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83"/>
      <c r="W137" s="83"/>
      <c r="X137" s="83"/>
      <c r="Y137" s="83"/>
      <c r="Z137" s="83"/>
      <c r="AA137" s="83"/>
      <c r="AB137" s="83"/>
      <c r="AC137" s="83"/>
      <c r="AD137" s="83"/>
      <c r="AE137" s="83"/>
      <c r="AF137" s="83"/>
      <c r="AG137" s="83"/>
      <c r="AH137" s="83"/>
      <c r="AI137" s="83"/>
      <c r="AJ137" s="83"/>
      <c r="AK137" s="83"/>
      <c r="AL137" s="83"/>
      <c r="AM137" s="83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83"/>
      <c r="W138" s="83"/>
      <c r="X138" s="83"/>
      <c r="Y138" s="83"/>
      <c r="Z138" s="83"/>
      <c r="AA138" s="83"/>
      <c r="AB138" s="83"/>
      <c r="AC138" s="83"/>
      <c r="AD138" s="83"/>
      <c r="AE138" s="83"/>
      <c r="AF138" s="83"/>
      <c r="AG138" s="83"/>
      <c r="AH138" s="83"/>
      <c r="AI138" s="83"/>
      <c r="AJ138" s="83"/>
      <c r="AK138" s="83"/>
      <c r="AL138" s="83"/>
      <c r="AM138" s="83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83"/>
      <c r="W139" s="83"/>
      <c r="X139" s="83"/>
      <c r="Y139" s="83"/>
      <c r="Z139" s="83"/>
      <c r="AA139" s="83"/>
      <c r="AB139" s="83"/>
      <c r="AC139" s="83"/>
      <c r="AD139" s="83"/>
      <c r="AE139" s="83"/>
      <c r="AF139" s="83"/>
      <c r="AG139" s="83"/>
      <c r="AH139" s="83"/>
      <c r="AI139" s="83"/>
      <c r="AJ139" s="83"/>
      <c r="AK139" s="83"/>
      <c r="AL139" s="83"/>
      <c r="AM139" s="83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83"/>
      <c r="W141" s="83"/>
      <c r="X141" s="83"/>
      <c r="Y141" s="83"/>
      <c r="Z141" s="83"/>
      <c r="AA141" s="83"/>
      <c r="AB141" s="83"/>
      <c r="AC141" s="83"/>
      <c r="AD141" s="83"/>
      <c r="AE141" s="83"/>
      <c r="AF141" s="83"/>
      <c r="AG141" s="83"/>
      <c r="AH141" s="83"/>
      <c r="AI141" s="83"/>
      <c r="AJ141" s="83"/>
      <c r="AK141" s="83"/>
      <c r="AL141" s="83"/>
      <c r="AM141" s="83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83"/>
      <c r="W142" s="83"/>
      <c r="X142" s="83"/>
      <c r="Y142" s="83"/>
      <c r="Z142" s="83"/>
      <c r="AA142" s="83"/>
      <c r="AB142" s="83"/>
      <c r="AC142" s="83"/>
      <c r="AD142" s="83"/>
      <c r="AE142" s="83"/>
      <c r="AF142" s="83"/>
      <c r="AG142" s="83"/>
      <c r="AH142" s="83"/>
      <c r="AI142" s="83"/>
      <c r="AJ142" s="83"/>
      <c r="AK142" s="83"/>
      <c r="AL142" s="83"/>
      <c r="AM142" s="83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3"/>
      <c r="AH143" s="83"/>
      <c r="AI143" s="83"/>
      <c r="AJ143" s="83"/>
      <c r="AK143" s="83"/>
      <c r="AL143" s="83"/>
      <c r="AM143" s="83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83"/>
      <c r="W144" s="83"/>
      <c r="X144" s="83"/>
      <c r="Y144" s="83"/>
      <c r="Z144" s="83"/>
      <c r="AA144" s="83"/>
      <c r="AB144" s="83"/>
      <c r="AC144" s="83"/>
      <c r="AD144" s="83"/>
      <c r="AE144" s="83"/>
      <c r="AF144" s="83"/>
      <c r="AG144" s="83"/>
      <c r="AH144" s="83"/>
      <c r="AI144" s="83"/>
      <c r="AJ144" s="83"/>
      <c r="AK144" s="83"/>
      <c r="AL144" s="83"/>
      <c r="AM144" s="83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83"/>
      <c r="W145" s="83"/>
      <c r="X145" s="83"/>
      <c r="Y145" s="83"/>
      <c r="Z145" s="83"/>
      <c r="AA145" s="83"/>
      <c r="AB145" s="83"/>
      <c r="AC145" s="83"/>
      <c r="AD145" s="83"/>
      <c r="AE145" s="83"/>
      <c r="AF145" s="83"/>
      <c r="AG145" s="83"/>
      <c r="AH145" s="83"/>
      <c r="AI145" s="83"/>
      <c r="AJ145" s="83"/>
      <c r="AK145" s="83"/>
      <c r="AL145" s="83"/>
      <c r="AM145" s="83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83"/>
      <c r="W146" s="83"/>
      <c r="X146" s="83"/>
      <c r="Y146" s="83"/>
      <c r="Z146" s="83"/>
      <c r="AA146" s="83"/>
      <c r="AB146" s="83"/>
      <c r="AC146" s="83"/>
      <c r="AD146" s="83"/>
      <c r="AE146" s="83"/>
      <c r="AF146" s="83"/>
      <c r="AG146" s="83"/>
      <c r="AH146" s="83"/>
      <c r="AI146" s="83"/>
      <c r="AJ146" s="83"/>
      <c r="AK146" s="83"/>
      <c r="AL146" s="83"/>
      <c r="AM146" s="83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83"/>
      <c r="W147" s="83"/>
      <c r="X147" s="83"/>
      <c r="Y147" s="83"/>
      <c r="Z147" s="83"/>
      <c r="AA147" s="83"/>
      <c r="AB147" s="83"/>
      <c r="AC147" s="83"/>
      <c r="AD147" s="83"/>
      <c r="AE147" s="83"/>
      <c r="AF147" s="83"/>
      <c r="AG147" s="83"/>
      <c r="AH147" s="83"/>
      <c r="AI147" s="83"/>
      <c r="AJ147" s="83"/>
      <c r="AK147" s="83"/>
      <c r="AL147" s="83"/>
      <c r="AM147" s="83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83"/>
      <c r="W148" s="83"/>
      <c r="X148" s="83"/>
      <c r="Y148" s="83"/>
      <c r="Z148" s="83"/>
      <c r="AA148" s="83"/>
      <c r="AB148" s="83"/>
      <c r="AC148" s="83"/>
      <c r="AD148" s="83"/>
      <c r="AE148" s="83"/>
      <c r="AF148" s="83"/>
      <c r="AG148" s="83"/>
      <c r="AH148" s="83"/>
      <c r="AI148" s="83"/>
      <c r="AJ148" s="83"/>
      <c r="AK148" s="83"/>
      <c r="AL148" s="83"/>
      <c r="AM148" s="83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83"/>
      <c r="W149" s="83"/>
      <c r="X149" s="83"/>
      <c r="Y149" s="83"/>
      <c r="Z149" s="83"/>
      <c r="AA149" s="83"/>
      <c r="AB149" s="83"/>
      <c r="AC149" s="83"/>
      <c r="AD149" s="83"/>
      <c r="AE149" s="83"/>
      <c r="AF149" s="83"/>
      <c r="AG149" s="83"/>
      <c r="AH149" s="83"/>
      <c r="AI149" s="83"/>
      <c r="AJ149" s="83"/>
      <c r="AK149" s="83"/>
      <c r="AL149" s="83"/>
      <c r="AM149" s="83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83"/>
      <c r="W150" s="83"/>
      <c r="X150" s="83"/>
      <c r="Y150" s="83"/>
      <c r="Z150" s="83"/>
      <c r="AA150" s="83"/>
      <c r="AB150" s="83"/>
      <c r="AC150" s="83"/>
      <c r="AD150" s="83"/>
      <c r="AE150" s="83"/>
      <c r="AF150" s="83"/>
      <c r="AG150" s="83"/>
      <c r="AH150" s="83"/>
      <c r="AI150" s="83"/>
      <c r="AJ150" s="83"/>
      <c r="AK150" s="83"/>
      <c r="AL150" s="83"/>
      <c r="AM150" s="83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83"/>
      <c r="W151" s="83"/>
      <c r="X151" s="83"/>
      <c r="Y151" s="83"/>
      <c r="Z151" s="83"/>
      <c r="AA151" s="83"/>
      <c r="AB151" s="83"/>
      <c r="AC151" s="83"/>
      <c r="AD151" s="83"/>
      <c r="AE151" s="83"/>
      <c r="AF151" s="83"/>
      <c r="AG151" s="83"/>
      <c r="AH151" s="83"/>
      <c r="AI151" s="83"/>
      <c r="AJ151" s="83"/>
      <c r="AK151" s="83"/>
      <c r="AL151" s="83"/>
      <c r="AM151" s="83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83"/>
      <c r="W153" s="83"/>
      <c r="X153" s="83"/>
      <c r="Y153" s="83"/>
      <c r="Z153" s="83"/>
      <c r="AA153" s="83"/>
      <c r="AB153" s="83"/>
      <c r="AC153" s="83"/>
      <c r="AD153" s="83"/>
      <c r="AE153" s="83"/>
      <c r="AF153" s="83"/>
      <c r="AG153" s="83"/>
      <c r="AH153" s="83"/>
      <c r="AI153" s="83"/>
      <c r="AJ153" s="83"/>
      <c r="AK153" s="83"/>
      <c r="AL153" s="83"/>
      <c r="AM153" s="83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83"/>
      <c r="W154" s="83"/>
      <c r="X154" s="83"/>
      <c r="Y154" s="83"/>
      <c r="Z154" s="83"/>
      <c r="AA154" s="83"/>
      <c r="AB154" s="83"/>
      <c r="AC154" s="83"/>
      <c r="AD154" s="83"/>
      <c r="AE154" s="83"/>
      <c r="AF154" s="83"/>
      <c r="AG154" s="83"/>
      <c r="AH154" s="83"/>
      <c r="AI154" s="83"/>
      <c r="AJ154" s="83"/>
      <c r="AK154" s="83"/>
      <c r="AL154" s="83"/>
      <c r="AM154" s="83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83"/>
      <c r="W155" s="83"/>
      <c r="X155" s="83"/>
      <c r="Y155" s="83"/>
      <c r="Z155" s="83"/>
      <c r="AA155" s="83"/>
      <c r="AB155" s="83"/>
      <c r="AC155" s="83"/>
      <c r="AD155" s="83"/>
      <c r="AE155" s="83"/>
      <c r="AF155" s="83"/>
      <c r="AG155" s="83"/>
      <c r="AH155" s="83"/>
      <c r="AI155" s="83"/>
      <c r="AJ155" s="83"/>
      <c r="AK155" s="83"/>
      <c r="AL155" s="83"/>
      <c r="AM155" s="83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83"/>
      <c r="W156" s="83"/>
      <c r="X156" s="83"/>
      <c r="Y156" s="83"/>
      <c r="Z156" s="83"/>
      <c r="AA156" s="83"/>
      <c r="AB156" s="83"/>
      <c r="AC156" s="83"/>
      <c r="AD156" s="83"/>
      <c r="AE156" s="83"/>
      <c r="AF156" s="83"/>
      <c r="AG156" s="83"/>
      <c r="AH156" s="83"/>
      <c r="AI156" s="83"/>
      <c r="AJ156" s="83"/>
      <c r="AK156" s="83"/>
      <c r="AL156" s="83"/>
      <c r="AM156" s="83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83"/>
      <c r="W157" s="83"/>
      <c r="X157" s="83"/>
      <c r="Y157" s="83"/>
      <c r="Z157" s="83"/>
      <c r="AA157" s="83"/>
      <c r="AB157" s="83"/>
      <c r="AC157" s="83"/>
      <c r="AD157" s="83"/>
      <c r="AE157" s="83"/>
      <c r="AF157" s="83"/>
      <c r="AG157" s="83"/>
      <c r="AH157" s="83"/>
      <c r="AI157" s="83"/>
      <c r="AJ157" s="83"/>
      <c r="AK157" s="83"/>
      <c r="AL157" s="83"/>
      <c r="AM157" s="83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83"/>
      <c r="W158" s="83"/>
      <c r="X158" s="83"/>
      <c r="Y158" s="83"/>
      <c r="Z158" s="83"/>
      <c r="AA158" s="83"/>
      <c r="AB158" s="83"/>
      <c r="AC158" s="83"/>
      <c r="AD158" s="83"/>
      <c r="AE158" s="83"/>
      <c r="AF158" s="83"/>
      <c r="AG158" s="83"/>
      <c r="AH158" s="83"/>
      <c r="AI158" s="83"/>
      <c r="AJ158" s="83"/>
      <c r="AK158" s="83"/>
      <c r="AL158" s="83"/>
      <c r="AM158" s="83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83"/>
      <c r="W159" s="83"/>
      <c r="X159" s="83"/>
      <c r="Y159" s="83"/>
      <c r="Z159" s="83"/>
      <c r="AA159" s="83"/>
      <c r="AB159" s="83"/>
      <c r="AC159" s="83"/>
      <c r="AD159" s="83"/>
      <c r="AE159" s="83"/>
      <c r="AF159" s="83"/>
      <c r="AG159" s="83"/>
      <c r="AH159" s="83"/>
      <c r="AI159" s="83"/>
      <c r="AJ159" s="83"/>
      <c r="AK159" s="83"/>
      <c r="AL159" s="83"/>
      <c r="AM159" s="83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83"/>
      <c r="W160" s="83"/>
      <c r="X160" s="83"/>
      <c r="Y160" s="83"/>
      <c r="Z160" s="83"/>
      <c r="AA160" s="83"/>
      <c r="AB160" s="83"/>
      <c r="AC160" s="83"/>
      <c r="AD160" s="83"/>
      <c r="AE160" s="83"/>
      <c r="AF160" s="83"/>
      <c r="AG160" s="83"/>
      <c r="AH160" s="83"/>
      <c r="AI160" s="83"/>
      <c r="AJ160" s="83"/>
      <c r="AK160" s="83"/>
      <c r="AL160" s="83"/>
      <c r="AM160" s="83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83"/>
      <c r="W161" s="83"/>
      <c r="X161" s="83"/>
      <c r="Y161" s="83"/>
      <c r="Z161" s="83"/>
      <c r="AA161" s="83"/>
      <c r="AB161" s="83"/>
      <c r="AC161" s="83"/>
      <c r="AD161" s="83"/>
      <c r="AE161" s="83"/>
      <c r="AF161" s="83"/>
      <c r="AG161" s="83"/>
      <c r="AH161" s="83"/>
      <c r="AI161" s="83"/>
      <c r="AJ161" s="83"/>
      <c r="AK161" s="83"/>
      <c r="AL161" s="83"/>
      <c r="AM161" s="83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83"/>
      <c r="W162" s="83"/>
      <c r="X162" s="83"/>
      <c r="Y162" s="83"/>
      <c r="Z162" s="83"/>
      <c r="AA162" s="83"/>
      <c r="AB162" s="83"/>
      <c r="AC162" s="83"/>
      <c r="AD162" s="83"/>
      <c r="AE162" s="83"/>
      <c r="AF162" s="83"/>
      <c r="AG162" s="83"/>
      <c r="AH162" s="83"/>
      <c r="AI162" s="83"/>
      <c r="AJ162" s="83"/>
      <c r="AK162" s="83"/>
      <c r="AL162" s="83"/>
      <c r="AM162" s="83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83"/>
      <c r="W163" s="83"/>
      <c r="X163" s="83"/>
      <c r="Y163" s="83"/>
      <c r="Z163" s="83"/>
      <c r="AA163" s="83"/>
      <c r="AB163" s="83"/>
      <c r="AC163" s="83"/>
      <c r="AD163" s="83"/>
      <c r="AE163" s="83"/>
      <c r="AF163" s="83"/>
      <c r="AG163" s="83"/>
      <c r="AH163" s="83"/>
      <c r="AI163" s="83"/>
      <c r="AJ163" s="83"/>
      <c r="AK163" s="83"/>
      <c r="AL163" s="83"/>
      <c r="AM163" s="83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83"/>
      <c r="W165" s="83"/>
      <c r="X165" s="83"/>
      <c r="Y165" s="83"/>
      <c r="Z165" s="83"/>
      <c r="AA165" s="83"/>
      <c r="AB165" s="83"/>
      <c r="AC165" s="83"/>
      <c r="AD165" s="83"/>
      <c r="AE165" s="83"/>
      <c r="AF165" s="83"/>
      <c r="AG165" s="83"/>
      <c r="AH165" s="83"/>
      <c r="AI165" s="83"/>
      <c r="AJ165" s="83"/>
      <c r="AK165" s="83"/>
      <c r="AL165" s="83"/>
      <c r="AM165" s="83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83"/>
      <c r="W166" s="83"/>
      <c r="X166" s="83"/>
      <c r="Y166" s="83"/>
      <c r="Z166" s="83"/>
      <c r="AA166" s="83"/>
      <c r="AB166" s="83"/>
      <c r="AC166" s="83"/>
      <c r="AD166" s="83"/>
      <c r="AE166" s="83"/>
      <c r="AF166" s="83"/>
      <c r="AG166" s="83"/>
      <c r="AH166" s="83"/>
      <c r="AI166" s="83"/>
      <c r="AJ166" s="83"/>
      <c r="AK166" s="83"/>
      <c r="AL166" s="83"/>
      <c r="AM166" s="83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83"/>
      <c r="W167" s="83"/>
      <c r="X167" s="83"/>
      <c r="Y167" s="83"/>
      <c r="Z167" s="83"/>
      <c r="AA167" s="83"/>
      <c r="AB167" s="83"/>
      <c r="AC167" s="83"/>
      <c r="AD167" s="83"/>
      <c r="AE167" s="83"/>
      <c r="AF167" s="83"/>
      <c r="AG167" s="83"/>
      <c r="AH167" s="83"/>
      <c r="AI167" s="83"/>
      <c r="AJ167" s="83"/>
      <c r="AK167" s="83"/>
      <c r="AL167" s="83"/>
      <c r="AM167" s="83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83"/>
      <c r="W168" s="83"/>
      <c r="X168" s="83"/>
      <c r="Y168" s="83"/>
      <c r="Z168" s="83"/>
      <c r="AA168" s="83"/>
      <c r="AB168" s="83"/>
      <c r="AC168" s="83"/>
      <c r="AD168" s="83"/>
      <c r="AE168" s="83"/>
      <c r="AF168" s="83"/>
      <c r="AG168" s="83"/>
      <c r="AH168" s="83"/>
      <c r="AI168" s="83"/>
      <c r="AJ168" s="83"/>
      <c r="AK168" s="83"/>
      <c r="AL168" s="83"/>
      <c r="AM168" s="83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83"/>
      <c r="W169" s="83"/>
      <c r="X169" s="83"/>
      <c r="Y169" s="83"/>
      <c r="Z169" s="83"/>
      <c r="AA169" s="83"/>
      <c r="AB169" s="83"/>
      <c r="AC169" s="83"/>
      <c r="AD169" s="83"/>
      <c r="AE169" s="83"/>
      <c r="AF169" s="83"/>
      <c r="AG169" s="83"/>
      <c r="AH169" s="83"/>
      <c r="AI169" s="83"/>
      <c r="AJ169" s="83"/>
      <c r="AK169" s="83"/>
      <c r="AL169" s="83"/>
      <c r="AM169" s="83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83"/>
      <c r="W170" s="83"/>
      <c r="X170" s="83"/>
      <c r="Y170" s="83"/>
      <c r="Z170" s="83"/>
      <c r="AA170" s="83"/>
      <c r="AB170" s="83"/>
      <c r="AC170" s="83"/>
      <c r="AD170" s="83"/>
      <c r="AE170" s="83"/>
      <c r="AF170" s="83"/>
      <c r="AG170" s="83"/>
      <c r="AH170" s="83"/>
      <c r="AI170" s="83"/>
      <c r="AJ170" s="83"/>
      <c r="AK170" s="83"/>
      <c r="AL170" s="83"/>
      <c r="AM170" s="83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83"/>
      <c r="W171" s="83"/>
      <c r="X171" s="83"/>
      <c r="Y171" s="83"/>
      <c r="Z171" s="83"/>
      <c r="AA171" s="83"/>
      <c r="AB171" s="83"/>
      <c r="AC171" s="83"/>
      <c r="AD171" s="83"/>
      <c r="AE171" s="83"/>
      <c r="AF171" s="83"/>
      <c r="AG171" s="83"/>
      <c r="AH171" s="83"/>
      <c r="AI171" s="83"/>
      <c r="AJ171" s="83"/>
      <c r="AK171" s="83"/>
      <c r="AL171" s="83"/>
      <c r="AM171" s="83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3"/>
      <c r="AH172" s="83"/>
      <c r="AI172" s="83"/>
      <c r="AJ172" s="83"/>
      <c r="AK172" s="83"/>
      <c r="AL172" s="83"/>
      <c r="AM172" s="83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83"/>
      <c r="W173" s="83"/>
      <c r="X173" s="83"/>
      <c r="Y173" s="83"/>
      <c r="Z173" s="83"/>
      <c r="AA173" s="83"/>
      <c r="AB173" s="83"/>
      <c r="AC173" s="83"/>
      <c r="AD173" s="83"/>
      <c r="AE173" s="83"/>
      <c r="AF173" s="83"/>
      <c r="AG173" s="83"/>
      <c r="AH173" s="83"/>
      <c r="AI173" s="83"/>
      <c r="AJ173" s="83"/>
      <c r="AK173" s="83"/>
      <c r="AL173" s="83"/>
      <c r="AM173" s="83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83"/>
      <c r="W174" s="83"/>
      <c r="X174" s="83"/>
      <c r="Y174" s="83"/>
      <c r="Z174" s="83"/>
      <c r="AA174" s="83"/>
      <c r="AB174" s="83"/>
      <c r="AC174" s="83"/>
      <c r="AD174" s="83"/>
      <c r="AE174" s="83"/>
      <c r="AF174" s="83"/>
      <c r="AG174" s="83"/>
      <c r="AH174" s="83"/>
      <c r="AI174" s="83"/>
      <c r="AJ174" s="83"/>
      <c r="AK174" s="83"/>
      <c r="AL174" s="83"/>
      <c r="AM174" s="83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83"/>
      <c r="W175" s="83"/>
      <c r="X175" s="83"/>
      <c r="Y175" s="83"/>
      <c r="Z175" s="83"/>
      <c r="AA175" s="83"/>
      <c r="AB175" s="83"/>
      <c r="AC175" s="83"/>
      <c r="AD175" s="83"/>
      <c r="AE175" s="83"/>
      <c r="AF175" s="83"/>
      <c r="AG175" s="83"/>
      <c r="AH175" s="83"/>
      <c r="AI175" s="83"/>
      <c r="AJ175" s="83"/>
      <c r="AK175" s="83"/>
      <c r="AL175" s="83"/>
      <c r="AM175" s="83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83"/>
      <c r="W177" s="83"/>
      <c r="X177" s="83"/>
      <c r="Y177" s="83"/>
      <c r="Z177" s="83"/>
      <c r="AA177" s="83"/>
      <c r="AB177" s="83"/>
      <c r="AC177" s="83"/>
      <c r="AD177" s="83"/>
      <c r="AE177" s="83"/>
      <c r="AF177" s="83"/>
      <c r="AG177" s="83"/>
      <c r="AH177" s="83"/>
      <c r="AI177" s="83"/>
      <c r="AJ177" s="83"/>
      <c r="AK177" s="83"/>
      <c r="AL177" s="83"/>
      <c r="AM177" s="83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83"/>
      <c r="W178" s="83"/>
      <c r="X178" s="83"/>
      <c r="Y178" s="83"/>
      <c r="Z178" s="83"/>
      <c r="AA178" s="83"/>
      <c r="AB178" s="83"/>
      <c r="AC178" s="83"/>
      <c r="AD178" s="83"/>
      <c r="AE178" s="83"/>
      <c r="AF178" s="83"/>
      <c r="AG178" s="83"/>
      <c r="AH178" s="83"/>
      <c r="AI178" s="83"/>
      <c r="AJ178" s="83"/>
      <c r="AK178" s="83"/>
      <c r="AL178" s="83"/>
      <c r="AM178" s="83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83"/>
      <c r="W179" s="83"/>
      <c r="X179" s="83"/>
      <c r="Y179" s="83"/>
      <c r="Z179" s="83"/>
      <c r="AA179" s="83"/>
      <c r="AB179" s="83"/>
      <c r="AC179" s="83"/>
      <c r="AD179" s="83"/>
      <c r="AE179" s="83"/>
      <c r="AF179" s="83"/>
      <c r="AG179" s="83"/>
      <c r="AH179" s="83"/>
      <c r="AI179" s="83"/>
      <c r="AJ179" s="83"/>
      <c r="AK179" s="83"/>
      <c r="AL179" s="83"/>
      <c r="AM179" s="83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83"/>
      <c r="W180" s="83"/>
      <c r="X180" s="83"/>
      <c r="Y180" s="83"/>
      <c r="Z180" s="83"/>
      <c r="AA180" s="83"/>
      <c r="AB180" s="83"/>
      <c r="AC180" s="83"/>
      <c r="AD180" s="83"/>
      <c r="AE180" s="83"/>
      <c r="AF180" s="83"/>
      <c r="AG180" s="83"/>
      <c r="AH180" s="83"/>
      <c r="AI180" s="83"/>
      <c r="AJ180" s="83"/>
      <c r="AK180" s="83"/>
      <c r="AL180" s="83"/>
      <c r="AM180" s="83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83"/>
      <c r="W181" s="83"/>
      <c r="X181" s="83"/>
      <c r="Y181" s="83"/>
      <c r="Z181" s="83"/>
      <c r="AA181" s="83"/>
      <c r="AB181" s="83"/>
      <c r="AC181" s="83"/>
      <c r="AD181" s="83"/>
      <c r="AE181" s="83"/>
      <c r="AF181" s="83"/>
      <c r="AG181" s="83"/>
      <c r="AH181" s="83"/>
      <c r="AI181" s="83"/>
      <c r="AJ181" s="83"/>
      <c r="AK181" s="83"/>
      <c r="AL181" s="83"/>
      <c r="AM181" s="83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83"/>
      <c r="W182" s="83"/>
      <c r="X182" s="83"/>
      <c r="Y182" s="83"/>
      <c r="Z182" s="83"/>
      <c r="AA182" s="83"/>
      <c r="AB182" s="83"/>
      <c r="AC182" s="83"/>
      <c r="AD182" s="83"/>
      <c r="AE182" s="83"/>
      <c r="AF182" s="83"/>
      <c r="AG182" s="83"/>
      <c r="AH182" s="83"/>
      <c r="AI182" s="83"/>
      <c r="AJ182" s="83"/>
      <c r="AK182" s="83"/>
      <c r="AL182" s="83"/>
      <c r="AM182" s="83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83"/>
      <c r="W183" s="83"/>
      <c r="X183" s="83"/>
      <c r="Y183" s="83"/>
      <c r="Z183" s="83"/>
      <c r="AA183" s="83"/>
      <c r="AB183" s="83"/>
      <c r="AC183" s="83"/>
      <c r="AD183" s="83"/>
      <c r="AE183" s="83"/>
      <c r="AF183" s="83"/>
      <c r="AG183" s="83"/>
      <c r="AH183" s="83"/>
      <c r="AI183" s="83"/>
      <c r="AJ183" s="83"/>
      <c r="AK183" s="83"/>
      <c r="AL183" s="83"/>
      <c r="AM183" s="83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83"/>
      <c r="W184" s="83"/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3"/>
      <c r="AL184" s="83"/>
      <c r="AM184" s="83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83"/>
      <c r="W185" s="83"/>
      <c r="X185" s="83"/>
      <c r="Y185" s="83"/>
      <c r="Z185" s="83"/>
      <c r="AA185" s="83"/>
      <c r="AB185" s="83"/>
      <c r="AC185" s="83"/>
      <c r="AD185" s="83"/>
      <c r="AE185" s="83"/>
      <c r="AF185" s="83"/>
      <c r="AG185" s="83"/>
      <c r="AH185" s="83"/>
      <c r="AI185" s="83"/>
      <c r="AJ185" s="83"/>
      <c r="AK185" s="83"/>
      <c r="AL185" s="83"/>
      <c r="AM185" s="83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83"/>
      <c r="W186" s="83"/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3"/>
      <c r="AL186" s="83"/>
      <c r="AM186" s="83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83"/>
      <c r="W187" s="83"/>
      <c r="X187" s="83"/>
      <c r="Y187" s="83"/>
      <c r="Z187" s="83"/>
      <c r="AA187" s="83"/>
      <c r="AB187" s="83"/>
      <c r="AC187" s="83"/>
      <c r="AD187" s="83"/>
      <c r="AE187" s="83"/>
      <c r="AF187" s="83"/>
      <c r="AG187" s="83"/>
      <c r="AH187" s="83"/>
      <c r="AI187" s="83"/>
      <c r="AJ187" s="83"/>
      <c r="AK187" s="83"/>
      <c r="AL187" s="83"/>
      <c r="AM187" s="83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83"/>
      <c r="W189" s="83"/>
      <c r="X189" s="83"/>
      <c r="Y189" s="83"/>
      <c r="Z189" s="83"/>
      <c r="AA189" s="83"/>
      <c r="AB189" s="83"/>
      <c r="AC189" s="83"/>
      <c r="AD189" s="83"/>
      <c r="AE189" s="83"/>
      <c r="AF189" s="83"/>
      <c r="AG189" s="83"/>
      <c r="AH189" s="83"/>
      <c r="AI189" s="83"/>
      <c r="AJ189" s="83"/>
      <c r="AK189" s="83"/>
      <c r="AL189" s="83"/>
      <c r="AM189" s="83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3"/>
      <c r="AL190" s="83"/>
      <c r="AM190" s="83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83"/>
      <c r="W191" s="83"/>
      <c r="X191" s="83"/>
      <c r="Y191" s="83"/>
      <c r="Z191" s="83"/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3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83"/>
      <c r="W192" s="83"/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3"/>
      <c r="AL192" s="83"/>
      <c r="AM192" s="83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83"/>
      <c r="W193" s="83"/>
      <c r="X193" s="83"/>
      <c r="Y193" s="83"/>
      <c r="Z193" s="83"/>
      <c r="AA193" s="83"/>
      <c r="AB193" s="83"/>
      <c r="AC193" s="83"/>
      <c r="AD193" s="83"/>
      <c r="AE193" s="83"/>
      <c r="AF193" s="83"/>
      <c r="AG193" s="83"/>
      <c r="AH193" s="83"/>
      <c r="AI193" s="83"/>
      <c r="AJ193" s="83"/>
      <c r="AK193" s="83"/>
      <c r="AL193" s="83"/>
      <c r="AM193" s="83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83"/>
      <c r="W194" s="83"/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3"/>
      <c r="AL194" s="83"/>
      <c r="AM194" s="83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83"/>
      <c r="W195" s="83"/>
      <c r="X195" s="83"/>
      <c r="Y195" s="83"/>
      <c r="Z195" s="83"/>
      <c r="AA195" s="83"/>
      <c r="AB195" s="83"/>
      <c r="AC195" s="83"/>
      <c r="AD195" s="83"/>
      <c r="AE195" s="83"/>
      <c r="AF195" s="83"/>
      <c r="AG195" s="83"/>
      <c r="AH195" s="83"/>
      <c r="AI195" s="83"/>
      <c r="AJ195" s="83"/>
      <c r="AK195" s="83"/>
      <c r="AL195" s="83"/>
      <c r="AM195" s="83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83"/>
      <c r="W196" s="83"/>
      <c r="X196" s="83"/>
      <c r="Y196" s="83"/>
      <c r="Z196" s="83"/>
      <c r="AA196" s="83"/>
      <c r="AB196" s="83"/>
      <c r="AC196" s="83"/>
      <c r="AD196" s="83"/>
      <c r="AE196" s="83"/>
      <c r="AF196" s="83"/>
      <c r="AG196" s="83"/>
      <c r="AH196" s="83"/>
      <c r="AI196" s="83"/>
      <c r="AJ196" s="83"/>
      <c r="AK196" s="83"/>
      <c r="AL196" s="83"/>
      <c r="AM196" s="83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83"/>
      <c r="W197" s="83"/>
      <c r="X197" s="83"/>
      <c r="Y197" s="83"/>
      <c r="Z197" s="83"/>
      <c r="AA197" s="83"/>
      <c r="AB197" s="83"/>
      <c r="AC197" s="83"/>
      <c r="AD197" s="83"/>
      <c r="AE197" s="83"/>
      <c r="AF197" s="83"/>
      <c r="AG197" s="83"/>
      <c r="AH197" s="83"/>
      <c r="AI197" s="83"/>
      <c r="AJ197" s="83"/>
      <c r="AK197" s="83"/>
      <c r="AL197" s="83"/>
      <c r="AM197" s="83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83"/>
      <c r="W198" s="83"/>
      <c r="X198" s="83"/>
      <c r="Y198" s="83"/>
      <c r="Z198" s="83"/>
      <c r="AA198" s="83"/>
      <c r="AB198" s="83"/>
      <c r="AC198" s="83"/>
      <c r="AD198" s="83"/>
      <c r="AE198" s="83"/>
      <c r="AF198" s="83"/>
      <c r="AG198" s="83"/>
      <c r="AH198" s="83"/>
      <c r="AI198" s="83"/>
      <c r="AJ198" s="83"/>
      <c r="AK198" s="83"/>
      <c r="AL198" s="83"/>
      <c r="AM198" s="83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3"/>
      <c r="AH199" s="83"/>
      <c r="AI199" s="83"/>
      <c r="AJ199" s="83"/>
      <c r="AK199" s="83"/>
      <c r="AL199" s="83"/>
      <c r="AM199" s="83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83"/>
      <c r="W201" s="83"/>
      <c r="X201" s="83"/>
      <c r="Y201" s="83"/>
      <c r="Z201" s="83"/>
      <c r="AA201" s="83"/>
      <c r="AB201" s="83"/>
      <c r="AC201" s="83"/>
      <c r="AD201" s="83"/>
      <c r="AE201" s="83"/>
      <c r="AF201" s="83"/>
      <c r="AG201" s="83"/>
      <c r="AH201" s="83"/>
      <c r="AI201" s="83"/>
      <c r="AJ201" s="83"/>
      <c r="AK201" s="83"/>
      <c r="AL201" s="83"/>
      <c r="AM201" s="83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83"/>
      <c r="W202" s="83"/>
      <c r="X202" s="83"/>
      <c r="Y202" s="83"/>
      <c r="Z202" s="83"/>
      <c r="AA202" s="83"/>
      <c r="AB202" s="83"/>
      <c r="AC202" s="83"/>
      <c r="AD202" s="83"/>
      <c r="AE202" s="83"/>
      <c r="AF202" s="83"/>
      <c r="AG202" s="83"/>
      <c r="AH202" s="83"/>
      <c r="AI202" s="83"/>
      <c r="AJ202" s="83"/>
      <c r="AK202" s="83"/>
      <c r="AL202" s="83"/>
      <c r="AM202" s="83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83"/>
      <c r="W203" s="83"/>
      <c r="X203" s="83"/>
      <c r="Y203" s="83"/>
      <c r="Z203" s="83"/>
      <c r="AA203" s="83"/>
      <c r="AB203" s="83"/>
      <c r="AC203" s="83"/>
      <c r="AD203" s="83"/>
      <c r="AE203" s="83"/>
      <c r="AF203" s="83"/>
      <c r="AG203" s="83"/>
      <c r="AH203" s="83"/>
      <c r="AI203" s="83"/>
      <c r="AJ203" s="83"/>
      <c r="AK203" s="83"/>
      <c r="AL203" s="83"/>
      <c r="AM203" s="83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83"/>
      <c r="W204" s="83"/>
      <c r="X204" s="83"/>
      <c r="Y204" s="83"/>
      <c r="Z204" s="83"/>
      <c r="AA204" s="83"/>
      <c r="AB204" s="83"/>
      <c r="AC204" s="83"/>
      <c r="AD204" s="83"/>
      <c r="AE204" s="83"/>
      <c r="AF204" s="83"/>
      <c r="AG204" s="83"/>
      <c r="AH204" s="83"/>
      <c r="AI204" s="83"/>
      <c r="AJ204" s="83"/>
      <c r="AK204" s="83"/>
      <c r="AL204" s="83"/>
      <c r="AM204" s="83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83"/>
      <c r="W205" s="83"/>
      <c r="X205" s="83"/>
      <c r="Y205" s="83"/>
      <c r="Z205" s="83"/>
      <c r="AA205" s="83"/>
      <c r="AB205" s="83"/>
      <c r="AC205" s="83"/>
      <c r="AD205" s="83"/>
      <c r="AE205" s="83"/>
      <c r="AF205" s="83"/>
      <c r="AG205" s="83"/>
      <c r="AH205" s="83"/>
      <c r="AI205" s="83"/>
      <c r="AJ205" s="83"/>
      <c r="AK205" s="83"/>
      <c r="AL205" s="83"/>
      <c r="AM205" s="83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83"/>
      <c r="W206" s="83"/>
      <c r="X206" s="83"/>
      <c r="Y206" s="83"/>
      <c r="Z206" s="83"/>
      <c r="AA206" s="83"/>
      <c r="AB206" s="83"/>
      <c r="AC206" s="83"/>
      <c r="AD206" s="83"/>
      <c r="AE206" s="83"/>
      <c r="AF206" s="83"/>
      <c r="AG206" s="83"/>
      <c r="AH206" s="83"/>
      <c r="AI206" s="83"/>
      <c r="AJ206" s="83"/>
      <c r="AK206" s="83"/>
      <c r="AL206" s="83"/>
      <c r="AM206" s="83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83"/>
      <c r="W207" s="83"/>
      <c r="X207" s="83"/>
      <c r="Y207" s="83"/>
      <c r="Z207" s="83"/>
      <c r="AA207" s="83"/>
      <c r="AB207" s="83"/>
      <c r="AC207" s="83"/>
      <c r="AD207" s="83"/>
      <c r="AE207" s="83"/>
      <c r="AF207" s="83"/>
      <c r="AG207" s="83"/>
      <c r="AH207" s="83"/>
      <c r="AI207" s="83"/>
      <c r="AJ207" s="83"/>
      <c r="AK207" s="83"/>
      <c r="AL207" s="83"/>
      <c r="AM207" s="83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83"/>
      <c r="W208" s="83"/>
      <c r="X208" s="83"/>
      <c r="Y208" s="83"/>
      <c r="Z208" s="83"/>
      <c r="AA208" s="83"/>
      <c r="AB208" s="83"/>
      <c r="AC208" s="83"/>
      <c r="AD208" s="83"/>
      <c r="AE208" s="83"/>
      <c r="AF208" s="83"/>
      <c r="AG208" s="83"/>
      <c r="AH208" s="83"/>
      <c r="AI208" s="83"/>
      <c r="AJ208" s="83"/>
      <c r="AK208" s="83"/>
      <c r="AL208" s="83"/>
      <c r="AM208" s="83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83"/>
      <c r="W209" s="83"/>
      <c r="X209" s="83"/>
      <c r="Y209" s="83"/>
      <c r="Z209" s="83"/>
      <c r="AA209" s="83"/>
      <c r="AB209" s="83"/>
      <c r="AC209" s="83"/>
      <c r="AD209" s="83"/>
      <c r="AE209" s="83"/>
      <c r="AF209" s="83"/>
      <c r="AG209" s="83"/>
      <c r="AH209" s="83"/>
      <c r="AI209" s="83"/>
      <c r="AJ209" s="83"/>
      <c r="AK209" s="83"/>
      <c r="AL209" s="83"/>
      <c r="AM209" s="83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83"/>
      <c r="W210" s="83"/>
      <c r="X210" s="83"/>
      <c r="Y210" s="83"/>
      <c r="Z210" s="83"/>
      <c r="AA210" s="83"/>
      <c r="AB210" s="83"/>
      <c r="AC210" s="83"/>
      <c r="AD210" s="83"/>
      <c r="AE210" s="83"/>
      <c r="AF210" s="83"/>
      <c r="AG210" s="83"/>
      <c r="AH210" s="83"/>
      <c r="AI210" s="83"/>
      <c r="AJ210" s="83"/>
      <c r="AK210" s="83"/>
      <c r="AL210" s="83"/>
      <c r="AM210" s="83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83"/>
      <c r="W211" s="83"/>
      <c r="X211" s="83"/>
      <c r="Y211" s="83"/>
      <c r="Z211" s="83"/>
      <c r="AA211" s="83"/>
      <c r="AB211" s="83"/>
      <c r="AC211" s="83"/>
      <c r="AD211" s="83"/>
      <c r="AE211" s="83"/>
      <c r="AF211" s="83"/>
      <c r="AG211" s="83"/>
      <c r="AH211" s="83"/>
      <c r="AI211" s="83"/>
      <c r="AJ211" s="83"/>
      <c r="AK211" s="83"/>
      <c r="AL211" s="83"/>
      <c r="AM211" s="83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83"/>
      <c r="W213" s="83"/>
      <c r="X213" s="83"/>
      <c r="Y213" s="83"/>
      <c r="Z213" s="83"/>
      <c r="AA213" s="83"/>
      <c r="AB213" s="83"/>
      <c r="AC213" s="83"/>
      <c r="AD213" s="83"/>
      <c r="AE213" s="83"/>
      <c r="AF213" s="83"/>
      <c r="AG213" s="83"/>
      <c r="AH213" s="83"/>
      <c r="AI213" s="83"/>
      <c r="AJ213" s="83"/>
      <c r="AK213" s="83"/>
      <c r="AL213" s="83"/>
      <c r="AM213" s="83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83"/>
      <c r="W214" s="83"/>
      <c r="X214" s="83"/>
      <c r="Y214" s="83"/>
      <c r="Z214" s="83"/>
      <c r="AA214" s="83"/>
      <c r="AB214" s="83"/>
      <c r="AC214" s="83"/>
      <c r="AD214" s="83"/>
      <c r="AE214" s="83"/>
      <c r="AF214" s="83"/>
      <c r="AG214" s="83"/>
      <c r="AH214" s="83"/>
      <c r="AI214" s="83"/>
      <c r="AJ214" s="83"/>
      <c r="AK214" s="83"/>
      <c r="AL214" s="83"/>
      <c r="AM214" s="83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83"/>
      <c r="W215" s="83"/>
      <c r="X215" s="83"/>
      <c r="Y215" s="83"/>
      <c r="Z215" s="83"/>
      <c r="AA215" s="83"/>
      <c r="AB215" s="83"/>
      <c r="AC215" s="83"/>
      <c r="AD215" s="83"/>
      <c r="AE215" s="83"/>
      <c r="AF215" s="83"/>
      <c r="AG215" s="83"/>
      <c r="AH215" s="83"/>
      <c r="AI215" s="83"/>
      <c r="AJ215" s="83"/>
      <c r="AK215" s="83"/>
      <c r="AL215" s="83"/>
      <c r="AM215" s="83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83"/>
      <c r="W216" s="83"/>
      <c r="X216" s="83"/>
      <c r="Y216" s="83"/>
      <c r="Z216" s="83"/>
      <c r="AA216" s="83"/>
      <c r="AB216" s="83"/>
      <c r="AC216" s="83"/>
      <c r="AD216" s="83"/>
      <c r="AE216" s="83"/>
      <c r="AF216" s="83"/>
      <c r="AG216" s="83"/>
      <c r="AH216" s="83"/>
      <c r="AI216" s="83"/>
      <c r="AJ216" s="83"/>
      <c r="AK216" s="83"/>
      <c r="AL216" s="83"/>
      <c r="AM216" s="83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83"/>
      <c r="W217" s="83"/>
      <c r="X217" s="83"/>
      <c r="Y217" s="83"/>
      <c r="Z217" s="83"/>
      <c r="AA217" s="83"/>
      <c r="AB217" s="83"/>
      <c r="AC217" s="83"/>
      <c r="AD217" s="83"/>
      <c r="AE217" s="83"/>
      <c r="AF217" s="83"/>
      <c r="AG217" s="83"/>
      <c r="AH217" s="83"/>
      <c r="AI217" s="83"/>
      <c r="AJ217" s="83"/>
      <c r="AK217" s="83"/>
      <c r="AL217" s="83"/>
      <c r="AM217" s="83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83"/>
      <c r="W218" s="83"/>
      <c r="X218" s="83"/>
      <c r="Y218" s="83"/>
      <c r="Z218" s="83"/>
      <c r="AA218" s="83"/>
      <c r="AB218" s="83"/>
      <c r="AC218" s="83"/>
      <c r="AD218" s="83"/>
      <c r="AE218" s="83"/>
      <c r="AF218" s="83"/>
      <c r="AG218" s="83"/>
      <c r="AH218" s="83"/>
      <c r="AI218" s="83"/>
      <c r="AJ218" s="83"/>
      <c r="AK218" s="83"/>
      <c r="AL218" s="83"/>
      <c r="AM218" s="83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83"/>
      <c r="W219" s="83"/>
      <c r="X219" s="83"/>
      <c r="Y219" s="83"/>
      <c r="Z219" s="83"/>
      <c r="AA219" s="83"/>
      <c r="AB219" s="83"/>
      <c r="AC219" s="83"/>
      <c r="AD219" s="83"/>
      <c r="AE219" s="83"/>
      <c r="AF219" s="83"/>
      <c r="AG219" s="83"/>
      <c r="AH219" s="83"/>
      <c r="AI219" s="83"/>
      <c r="AJ219" s="83"/>
      <c r="AK219" s="83"/>
      <c r="AL219" s="83"/>
      <c r="AM219" s="83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83"/>
      <c r="W220" s="83"/>
      <c r="X220" s="83"/>
      <c r="Y220" s="83"/>
      <c r="Z220" s="83"/>
      <c r="AA220" s="83"/>
      <c r="AB220" s="83"/>
      <c r="AC220" s="83"/>
      <c r="AD220" s="83"/>
      <c r="AE220" s="83"/>
      <c r="AF220" s="83"/>
      <c r="AG220" s="83"/>
      <c r="AH220" s="83"/>
      <c r="AI220" s="83"/>
      <c r="AJ220" s="83"/>
      <c r="AK220" s="83"/>
      <c r="AL220" s="83"/>
      <c r="AM220" s="83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83"/>
      <c r="W221" s="83"/>
      <c r="X221" s="83"/>
      <c r="Y221" s="83"/>
      <c r="Z221" s="83"/>
      <c r="AA221" s="83"/>
      <c r="AB221" s="83"/>
      <c r="AC221" s="83"/>
      <c r="AD221" s="83"/>
      <c r="AE221" s="83"/>
      <c r="AF221" s="83"/>
      <c r="AG221" s="83"/>
      <c r="AH221" s="83"/>
      <c r="AI221" s="83"/>
      <c r="AJ221" s="83"/>
      <c r="AK221" s="83"/>
      <c r="AL221" s="83"/>
      <c r="AM221" s="83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83"/>
      <c r="W222" s="83"/>
      <c r="X222" s="83"/>
      <c r="Y222" s="83"/>
      <c r="Z222" s="83"/>
      <c r="AA222" s="83"/>
      <c r="AB222" s="83"/>
      <c r="AC222" s="83"/>
      <c r="AD222" s="83"/>
      <c r="AE222" s="83"/>
      <c r="AF222" s="83"/>
      <c r="AG222" s="83"/>
      <c r="AH222" s="83"/>
      <c r="AI222" s="83"/>
      <c r="AJ222" s="83"/>
      <c r="AK222" s="83"/>
      <c r="AL222" s="83"/>
      <c r="AM222" s="83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83"/>
      <c r="W223" s="83"/>
      <c r="X223" s="83"/>
      <c r="Y223" s="83"/>
      <c r="Z223" s="83"/>
      <c r="AA223" s="83"/>
      <c r="AB223" s="83"/>
      <c r="AC223" s="83"/>
      <c r="AD223" s="83"/>
      <c r="AE223" s="83"/>
      <c r="AF223" s="83"/>
      <c r="AG223" s="83"/>
      <c r="AH223" s="83"/>
      <c r="AI223" s="83"/>
      <c r="AJ223" s="83"/>
      <c r="AK223" s="83"/>
      <c r="AL223" s="83"/>
      <c r="AM223" s="83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83"/>
      <c r="W225" s="83"/>
      <c r="X225" s="83"/>
      <c r="Y225" s="83"/>
      <c r="Z225" s="83"/>
      <c r="AA225" s="83"/>
      <c r="AB225" s="83"/>
      <c r="AC225" s="83"/>
      <c r="AD225" s="83"/>
      <c r="AE225" s="83"/>
      <c r="AF225" s="83"/>
      <c r="AG225" s="83"/>
      <c r="AH225" s="83"/>
      <c r="AI225" s="83"/>
      <c r="AJ225" s="83"/>
      <c r="AK225" s="83"/>
      <c r="AL225" s="83"/>
      <c r="AM225" s="83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83"/>
      <c r="W226" s="83"/>
      <c r="X226" s="83"/>
      <c r="Y226" s="83"/>
      <c r="Z226" s="83"/>
      <c r="AA226" s="83"/>
      <c r="AB226" s="83"/>
      <c r="AC226" s="83"/>
      <c r="AD226" s="83"/>
      <c r="AE226" s="83"/>
      <c r="AF226" s="83"/>
      <c r="AG226" s="83"/>
      <c r="AH226" s="83"/>
      <c r="AI226" s="83"/>
      <c r="AJ226" s="83"/>
      <c r="AK226" s="83"/>
      <c r="AL226" s="83"/>
      <c r="AM226" s="83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83"/>
      <c r="W227" s="83"/>
      <c r="X227" s="83"/>
      <c r="Y227" s="83"/>
      <c r="Z227" s="83"/>
      <c r="AA227" s="83"/>
      <c r="AB227" s="83"/>
      <c r="AC227" s="83"/>
      <c r="AD227" s="83"/>
      <c r="AE227" s="83"/>
      <c r="AF227" s="83"/>
      <c r="AG227" s="83"/>
      <c r="AH227" s="83"/>
      <c r="AI227" s="83"/>
      <c r="AJ227" s="83"/>
      <c r="AK227" s="83"/>
      <c r="AL227" s="83"/>
      <c r="AM227" s="83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83"/>
      <c r="W228" s="83"/>
      <c r="X228" s="83"/>
      <c r="Y228" s="83"/>
      <c r="Z228" s="83"/>
      <c r="AA228" s="83"/>
      <c r="AB228" s="83"/>
      <c r="AC228" s="83"/>
      <c r="AD228" s="83"/>
      <c r="AE228" s="83"/>
      <c r="AF228" s="83"/>
      <c r="AG228" s="83"/>
      <c r="AH228" s="83"/>
      <c r="AI228" s="83"/>
      <c r="AJ228" s="83"/>
      <c r="AK228" s="83"/>
      <c r="AL228" s="83"/>
      <c r="AM228" s="83"/>
    </row>
    <row r="229" ht="13.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3"/>
      <c r="O229" s="83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  <c r="AB229" s="83"/>
      <c r="AC229" s="83"/>
      <c r="AD229" s="83"/>
      <c r="AE229" s="83"/>
      <c r="AF229" s="83"/>
      <c r="AG229" s="83"/>
      <c r="AH229" s="83"/>
      <c r="AI229" s="83"/>
      <c r="AJ229" s="83"/>
      <c r="AK229" s="83"/>
      <c r="AL229" s="83"/>
      <c r="AM229" s="83"/>
    </row>
    <row r="230" ht="13.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3"/>
      <c r="O230" s="83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  <c r="AB230" s="83"/>
      <c r="AC230" s="83"/>
      <c r="AD230" s="83"/>
      <c r="AE230" s="83"/>
      <c r="AF230" s="83"/>
      <c r="AG230" s="83"/>
      <c r="AH230" s="83"/>
      <c r="AI230" s="83"/>
      <c r="AJ230" s="83"/>
      <c r="AK230" s="83"/>
      <c r="AL230" s="83"/>
      <c r="AM230" s="83"/>
    </row>
    <row r="231" ht="13.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3"/>
      <c r="O231" s="83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  <c r="AB231" s="83"/>
      <c r="AC231" s="83"/>
      <c r="AD231" s="83"/>
      <c r="AE231" s="83"/>
      <c r="AF231" s="83"/>
      <c r="AG231" s="83"/>
      <c r="AH231" s="83"/>
      <c r="AI231" s="83"/>
      <c r="AJ231" s="83"/>
      <c r="AK231" s="83"/>
      <c r="AL231" s="83"/>
      <c r="AM231" s="83"/>
    </row>
    <row r="232" ht="13.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  <c r="AB232" s="83"/>
      <c r="AC232" s="83"/>
      <c r="AD232" s="83"/>
      <c r="AE232" s="83"/>
      <c r="AF232" s="83"/>
      <c r="AG232" s="83"/>
      <c r="AH232" s="83"/>
      <c r="AI232" s="83"/>
      <c r="AJ232" s="83"/>
      <c r="AK232" s="83"/>
      <c r="AL232" s="83"/>
      <c r="AM232" s="83"/>
    </row>
    <row r="233" ht="13.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3"/>
      <c r="O233" s="83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  <c r="AB233" s="83"/>
      <c r="AC233" s="83"/>
      <c r="AD233" s="83"/>
      <c r="AE233" s="83"/>
      <c r="AF233" s="83"/>
      <c r="AG233" s="83"/>
      <c r="AH233" s="83"/>
      <c r="AI233" s="83"/>
      <c r="AJ233" s="83"/>
      <c r="AK233" s="83"/>
      <c r="AL233" s="83"/>
      <c r="AM233" s="83"/>
    </row>
    <row r="234" ht="13.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  <c r="AB234" s="83"/>
      <c r="AC234" s="83"/>
      <c r="AD234" s="83"/>
      <c r="AE234" s="83"/>
      <c r="AF234" s="83"/>
      <c r="AG234" s="83"/>
      <c r="AH234" s="83"/>
      <c r="AI234" s="83"/>
      <c r="AJ234" s="83"/>
      <c r="AK234" s="83"/>
      <c r="AL234" s="83"/>
      <c r="AM234" s="83"/>
    </row>
    <row r="235" ht="13.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3"/>
      <c r="O235" s="83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  <c r="AB235" s="83"/>
      <c r="AC235" s="83"/>
      <c r="AD235" s="83"/>
      <c r="AE235" s="83"/>
      <c r="AF235" s="83"/>
      <c r="AG235" s="83"/>
      <c r="AH235" s="83"/>
      <c r="AI235" s="83"/>
      <c r="AJ235" s="83"/>
      <c r="AK235" s="83"/>
      <c r="AL235" s="83"/>
      <c r="AM235" s="83"/>
    </row>
    <row r="236" ht="13.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</row>
    <row r="237" ht="13.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3"/>
      <c r="O237" s="83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  <c r="AB237" s="83"/>
      <c r="AC237" s="83"/>
      <c r="AD237" s="83"/>
      <c r="AE237" s="83"/>
      <c r="AF237" s="83"/>
      <c r="AG237" s="83"/>
      <c r="AH237" s="83"/>
      <c r="AI237" s="83"/>
      <c r="AJ237" s="83"/>
      <c r="AK237" s="83"/>
      <c r="AL237" s="83"/>
      <c r="AM237" s="83"/>
    </row>
    <row r="238" ht="13.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  <c r="AB238" s="83"/>
      <c r="AC238" s="83"/>
      <c r="AD238" s="83"/>
      <c r="AE238" s="83"/>
      <c r="AF238" s="83"/>
      <c r="AG238" s="83"/>
      <c r="AH238" s="83"/>
      <c r="AI238" s="83"/>
      <c r="AJ238" s="83"/>
      <c r="AK238" s="83"/>
      <c r="AL238" s="83"/>
      <c r="AM238" s="83"/>
    </row>
    <row r="239" ht="13.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3"/>
      <c r="AH239" s="83"/>
      <c r="AI239" s="83"/>
      <c r="AJ239" s="83"/>
      <c r="AK239" s="83"/>
      <c r="AL239" s="83"/>
      <c r="AM239" s="83"/>
    </row>
    <row r="240" ht="13.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  <c r="AB240" s="83"/>
      <c r="AC240" s="83"/>
      <c r="AD240" s="83"/>
      <c r="AE240" s="83"/>
      <c r="AF240" s="83"/>
      <c r="AG240" s="83"/>
      <c r="AH240" s="83"/>
      <c r="AI240" s="83"/>
      <c r="AJ240" s="83"/>
      <c r="AK240" s="83"/>
      <c r="AL240" s="83"/>
      <c r="AM240" s="83"/>
    </row>
    <row r="241" ht="13.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3"/>
      <c r="O241" s="83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  <c r="AB241" s="83"/>
      <c r="AC241" s="83"/>
      <c r="AD241" s="83"/>
      <c r="AE241" s="83"/>
      <c r="AF241" s="83"/>
      <c r="AG241" s="83"/>
      <c r="AH241" s="83"/>
      <c r="AI241" s="83"/>
      <c r="AJ241" s="83"/>
      <c r="AK241" s="83"/>
      <c r="AL241" s="83"/>
      <c r="AM241" s="83"/>
    </row>
    <row r="242" ht="13.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  <c r="AB242" s="83"/>
      <c r="AC242" s="83"/>
      <c r="AD242" s="83"/>
      <c r="AE242" s="83"/>
      <c r="AF242" s="83"/>
      <c r="AG242" s="83"/>
      <c r="AH242" s="83"/>
      <c r="AI242" s="83"/>
      <c r="AJ242" s="83"/>
      <c r="AK242" s="83"/>
      <c r="AL242" s="83"/>
      <c r="AM242" s="83"/>
    </row>
    <row r="243" ht="13.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3"/>
      <c r="O243" s="83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  <c r="AB243" s="83"/>
      <c r="AC243" s="83"/>
      <c r="AD243" s="83"/>
      <c r="AE243" s="83"/>
      <c r="AF243" s="83"/>
      <c r="AG243" s="83"/>
      <c r="AH243" s="83"/>
      <c r="AI243" s="83"/>
      <c r="AJ243" s="83"/>
      <c r="AK243" s="83"/>
      <c r="AL243" s="83"/>
      <c r="AM243" s="83"/>
    </row>
    <row r="244" ht="13.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  <c r="AB244" s="83"/>
      <c r="AC244" s="83"/>
      <c r="AD244" s="83"/>
      <c r="AE244" s="83"/>
      <c r="AF244" s="83"/>
      <c r="AG244" s="83"/>
      <c r="AH244" s="83"/>
      <c r="AI244" s="83"/>
      <c r="AJ244" s="83"/>
      <c r="AK244" s="83"/>
      <c r="AL244" s="83"/>
      <c r="AM244" s="83"/>
    </row>
    <row r="245" ht="13.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  <c r="AB245" s="83"/>
      <c r="AC245" s="83"/>
      <c r="AD245" s="83"/>
      <c r="AE245" s="83"/>
      <c r="AF245" s="83"/>
      <c r="AG245" s="83"/>
      <c r="AH245" s="83"/>
      <c r="AI245" s="83"/>
      <c r="AJ245" s="83"/>
      <c r="AK245" s="83"/>
      <c r="AL245" s="83"/>
      <c r="AM245" s="83"/>
    </row>
    <row r="246" ht="13.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  <c r="AB246" s="83"/>
      <c r="AC246" s="83"/>
      <c r="AD246" s="83"/>
      <c r="AE246" s="83"/>
      <c r="AF246" s="83"/>
      <c r="AG246" s="83"/>
      <c r="AH246" s="83"/>
      <c r="AI246" s="83"/>
      <c r="AJ246" s="83"/>
      <c r="AK246" s="83"/>
      <c r="AL246" s="83"/>
      <c r="AM246" s="83"/>
    </row>
    <row r="247" ht="13.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3"/>
      <c r="O247" s="83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  <c r="AB247" s="83"/>
      <c r="AC247" s="83"/>
      <c r="AD247" s="83"/>
      <c r="AE247" s="83"/>
      <c r="AF247" s="83"/>
      <c r="AG247" s="83"/>
      <c r="AH247" s="83"/>
      <c r="AI247" s="83"/>
      <c r="AJ247" s="83"/>
      <c r="AK247" s="83"/>
      <c r="AL247" s="83"/>
      <c r="AM247" s="83"/>
    </row>
    <row r="248" ht="13.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  <c r="AB248" s="83"/>
      <c r="AC248" s="83"/>
      <c r="AD248" s="83"/>
      <c r="AE248" s="83"/>
      <c r="AF248" s="83"/>
      <c r="AG248" s="83"/>
      <c r="AH248" s="83"/>
      <c r="AI248" s="83"/>
      <c r="AJ248" s="83"/>
      <c r="AK248" s="83"/>
      <c r="AL248" s="83"/>
      <c r="AM248" s="83"/>
    </row>
    <row r="249" ht="13.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3"/>
      <c r="O249" s="83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  <c r="AB249" s="83"/>
      <c r="AC249" s="83"/>
      <c r="AD249" s="83"/>
      <c r="AE249" s="83"/>
      <c r="AF249" s="83"/>
      <c r="AG249" s="83"/>
      <c r="AH249" s="83"/>
      <c r="AI249" s="83"/>
      <c r="AJ249" s="83"/>
      <c r="AK249" s="83"/>
      <c r="AL249" s="83"/>
      <c r="AM249" s="83"/>
    </row>
    <row r="250" ht="13.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  <c r="AB250" s="83"/>
      <c r="AC250" s="83"/>
      <c r="AD250" s="83"/>
      <c r="AE250" s="83"/>
      <c r="AF250" s="83"/>
      <c r="AG250" s="83"/>
      <c r="AH250" s="83"/>
      <c r="AI250" s="83"/>
      <c r="AJ250" s="83"/>
      <c r="AK250" s="83"/>
      <c r="AL250" s="83"/>
      <c r="AM250" s="83"/>
    </row>
    <row r="251" ht="13.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3"/>
      <c r="O251" s="83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  <c r="AB251" s="83"/>
      <c r="AC251" s="83"/>
      <c r="AD251" s="83"/>
      <c r="AE251" s="83"/>
      <c r="AF251" s="83"/>
      <c r="AG251" s="83"/>
      <c r="AH251" s="83"/>
      <c r="AI251" s="83"/>
      <c r="AJ251" s="83"/>
      <c r="AK251" s="83"/>
      <c r="AL251" s="83"/>
      <c r="AM251" s="83"/>
    </row>
    <row r="252" ht="13.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  <c r="AB252" s="83"/>
      <c r="AC252" s="83"/>
      <c r="AD252" s="83"/>
      <c r="AE252" s="83"/>
      <c r="AF252" s="83"/>
      <c r="AG252" s="83"/>
      <c r="AH252" s="83"/>
      <c r="AI252" s="83"/>
      <c r="AJ252" s="83"/>
      <c r="AK252" s="83"/>
      <c r="AL252" s="83"/>
      <c r="AM252" s="83"/>
    </row>
    <row r="253" ht="13.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3"/>
      <c r="O253" s="83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  <c r="AB253" s="83"/>
      <c r="AC253" s="83"/>
      <c r="AD253" s="83"/>
      <c r="AE253" s="83"/>
      <c r="AF253" s="83"/>
      <c r="AG253" s="83"/>
      <c r="AH253" s="83"/>
      <c r="AI253" s="83"/>
      <c r="AJ253" s="83"/>
      <c r="AK253" s="83"/>
      <c r="AL253" s="83"/>
      <c r="AM253" s="83"/>
    </row>
    <row r="254" ht="13.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  <c r="AB254" s="83"/>
      <c r="AC254" s="83"/>
      <c r="AD254" s="83"/>
      <c r="AE254" s="83"/>
      <c r="AF254" s="83"/>
      <c r="AG254" s="83"/>
      <c r="AH254" s="83"/>
      <c r="AI254" s="83"/>
      <c r="AJ254" s="83"/>
      <c r="AK254" s="83"/>
      <c r="AL254" s="83"/>
      <c r="AM254" s="83"/>
    </row>
    <row r="255" ht="13.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  <c r="AB255" s="83"/>
      <c r="AC255" s="83"/>
      <c r="AD255" s="83"/>
      <c r="AE255" s="83"/>
      <c r="AF255" s="83"/>
      <c r="AG255" s="83"/>
      <c r="AH255" s="83"/>
      <c r="AI255" s="83"/>
      <c r="AJ255" s="83"/>
      <c r="AK255" s="83"/>
      <c r="AL255" s="83"/>
      <c r="AM255" s="83"/>
    </row>
    <row r="256" ht="13.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  <c r="AB256" s="83"/>
      <c r="AC256" s="83"/>
      <c r="AD256" s="83"/>
      <c r="AE256" s="83"/>
      <c r="AF256" s="83"/>
      <c r="AG256" s="83"/>
      <c r="AH256" s="83"/>
      <c r="AI256" s="83"/>
      <c r="AJ256" s="83"/>
      <c r="AK256" s="83"/>
      <c r="AL256" s="83"/>
      <c r="AM256" s="83"/>
    </row>
    <row r="257" ht="13.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3"/>
      <c r="AH257" s="83"/>
      <c r="AI257" s="83"/>
      <c r="AJ257" s="83"/>
      <c r="AK257" s="83"/>
      <c r="AL257" s="83"/>
      <c r="AM257" s="83"/>
    </row>
    <row r="258" ht="13.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  <c r="AB258" s="83"/>
      <c r="AC258" s="83"/>
      <c r="AD258" s="83"/>
      <c r="AE258" s="83"/>
      <c r="AF258" s="83"/>
      <c r="AG258" s="83"/>
      <c r="AH258" s="83"/>
      <c r="AI258" s="83"/>
      <c r="AJ258" s="83"/>
      <c r="AK258" s="83"/>
      <c r="AL258" s="83"/>
      <c r="AM258" s="83"/>
    </row>
    <row r="259" ht="13.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3"/>
      <c r="O259" s="83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  <c r="AB259" s="83"/>
      <c r="AC259" s="83"/>
      <c r="AD259" s="83"/>
      <c r="AE259" s="83"/>
      <c r="AF259" s="83"/>
      <c r="AG259" s="83"/>
      <c r="AH259" s="83"/>
      <c r="AI259" s="83"/>
      <c r="AJ259" s="83"/>
      <c r="AK259" s="83"/>
      <c r="AL259" s="83"/>
      <c r="AM259" s="83"/>
    </row>
    <row r="260" ht="13.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  <c r="AB260" s="83"/>
      <c r="AC260" s="83"/>
      <c r="AD260" s="83"/>
      <c r="AE260" s="83"/>
      <c r="AF260" s="83"/>
      <c r="AG260" s="83"/>
      <c r="AH260" s="83"/>
      <c r="AI260" s="83"/>
      <c r="AJ260" s="83"/>
      <c r="AK260" s="83"/>
      <c r="AL260" s="83"/>
      <c r="AM260" s="83"/>
    </row>
    <row r="261" ht="13.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3"/>
      <c r="O261" s="83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  <c r="AB261" s="83"/>
      <c r="AC261" s="83"/>
      <c r="AD261" s="83"/>
      <c r="AE261" s="83"/>
      <c r="AF261" s="83"/>
      <c r="AG261" s="83"/>
      <c r="AH261" s="83"/>
      <c r="AI261" s="83"/>
      <c r="AJ261" s="83"/>
      <c r="AK261" s="83"/>
      <c r="AL261" s="83"/>
      <c r="AM261" s="83"/>
    </row>
    <row r="262" ht="13.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  <c r="AB262" s="83"/>
      <c r="AC262" s="83"/>
      <c r="AD262" s="83"/>
      <c r="AE262" s="83"/>
      <c r="AF262" s="83"/>
      <c r="AG262" s="83"/>
      <c r="AH262" s="83"/>
      <c r="AI262" s="83"/>
      <c r="AJ262" s="83"/>
      <c r="AK262" s="83"/>
      <c r="AL262" s="83"/>
      <c r="AM262" s="83"/>
    </row>
    <row r="263" ht="13.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3"/>
      <c r="O263" s="83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  <c r="AB263" s="83"/>
      <c r="AC263" s="83"/>
      <c r="AD263" s="83"/>
      <c r="AE263" s="83"/>
      <c r="AF263" s="83"/>
      <c r="AG263" s="83"/>
      <c r="AH263" s="83"/>
      <c r="AI263" s="83"/>
      <c r="AJ263" s="83"/>
      <c r="AK263" s="83"/>
      <c r="AL263" s="83"/>
      <c r="AM263" s="83"/>
    </row>
    <row r="264" ht="13.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  <c r="AB264" s="83"/>
      <c r="AC264" s="83"/>
      <c r="AD264" s="83"/>
      <c r="AE264" s="83"/>
      <c r="AF264" s="83"/>
      <c r="AG264" s="83"/>
      <c r="AH264" s="83"/>
      <c r="AI264" s="83"/>
      <c r="AJ264" s="83"/>
      <c r="AK264" s="83"/>
      <c r="AL264" s="83"/>
      <c r="AM264" s="83"/>
    </row>
    <row r="265" ht="13.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3"/>
      <c r="O265" s="83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  <c r="AB265" s="83"/>
      <c r="AC265" s="83"/>
      <c r="AD265" s="83"/>
      <c r="AE265" s="83"/>
      <c r="AF265" s="83"/>
      <c r="AG265" s="83"/>
      <c r="AH265" s="83"/>
      <c r="AI265" s="83"/>
      <c r="AJ265" s="83"/>
      <c r="AK265" s="83"/>
      <c r="AL265" s="83"/>
      <c r="AM265" s="83"/>
    </row>
    <row r="266" ht="13.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  <c r="AB266" s="83"/>
      <c r="AC266" s="83"/>
      <c r="AD266" s="83"/>
      <c r="AE266" s="83"/>
      <c r="AF266" s="83"/>
      <c r="AG266" s="83"/>
      <c r="AH266" s="83"/>
      <c r="AI266" s="83"/>
      <c r="AJ266" s="83"/>
      <c r="AK266" s="83"/>
      <c r="AL266" s="83"/>
      <c r="AM266" s="83"/>
    </row>
    <row r="267" ht="13.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3"/>
      <c r="O267" s="83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  <c r="AB267" s="83"/>
      <c r="AC267" s="83"/>
      <c r="AD267" s="83"/>
      <c r="AE267" s="83"/>
      <c r="AF267" s="83"/>
      <c r="AG267" s="83"/>
      <c r="AH267" s="83"/>
      <c r="AI267" s="83"/>
      <c r="AJ267" s="83"/>
      <c r="AK267" s="83"/>
      <c r="AL267" s="83"/>
      <c r="AM267" s="83"/>
    </row>
    <row r="268" ht="13.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  <c r="AB268" s="83"/>
      <c r="AC268" s="83"/>
      <c r="AD268" s="83"/>
      <c r="AE268" s="83"/>
      <c r="AF268" s="83"/>
      <c r="AG268" s="83"/>
      <c r="AH268" s="83"/>
      <c r="AI268" s="83"/>
      <c r="AJ268" s="83"/>
      <c r="AK268" s="83"/>
      <c r="AL268" s="83"/>
      <c r="AM268" s="83"/>
    </row>
    <row r="269" ht="13.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3"/>
      <c r="O269" s="83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  <c r="AB269" s="83"/>
      <c r="AC269" s="83"/>
      <c r="AD269" s="83"/>
      <c r="AE269" s="83"/>
      <c r="AF269" s="83"/>
      <c r="AG269" s="83"/>
      <c r="AH269" s="83"/>
      <c r="AI269" s="83"/>
      <c r="AJ269" s="83"/>
      <c r="AK269" s="83"/>
      <c r="AL269" s="83"/>
      <c r="AM269" s="83"/>
    </row>
    <row r="270" ht="13.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  <c r="AB270" s="83"/>
      <c r="AC270" s="83"/>
      <c r="AD270" s="83"/>
      <c r="AE270" s="83"/>
      <c r="AF270" s="83"/>
      <c r="AG270" s="83"/>
      <c r="AH270" s="83"/>
      <c r="AI270" s="83"/>
      <c r="AJ270" s="83"/>
      <c r="AK270" s="83"/>
      <c r="AL270" s="83"/>
      <c r="AM270" s="83"/>
    </row>
    <row r="271" ht="13.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3"/>
      <c r="O271" s="83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  <c r="AB271" s="83"/>
      <c r="AC271" s="83"/>
      <c r="AD271" s="83"/>
      <c r="AE271" s="83"/>
      <c r="AF271" s="83"/>
      <c r="AG271" s="83"/>
      <c r="AH271" s="83"/>
      <c r="AI271" s="83"/>
      <c r="AJ271" s="83"/>
      <c r="AK271" s="83"/>
      <c r="AL271" s="83"/>
      <c r="AM271" s="83"/>
    </row>
    <row r="272" ht="13.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  <c r="AB272" s="83"/>
      <c r="AC272" s="83"/>
      <c r="AD272" s="83"/>
      <c r="AE272" s="83"/>
      <c r="AF272" s="83"/>
      <c r="AG272" s="83"/>
      <c r="AH272" s="83"/>
      <c r="AI272" s="83"/>
      <c r="AJ272" s="83"/>
      <c r="AK272" s="83"/>
      <c r="AL272" s="83"/>
      <c r="AM272" s="83"/>
    </row>
    <row r="273" ht="13.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3"/>
      <c r="O273" s="83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  <c r="AB273" s="83"/>
      <c r="AC273" s="83"/>
      <c r="AD273" s="83"/>
      <c r="AE273" s="83"/>
      <c r="AF273" s="83"/>
      <c r="AG273" s="83"/>
      <c r="AH273" s="83"/>
      <c r="AI273" s="83"/>
      <c r="AJ273" s="83"/>
      <c r="AK273" s="83"/>
      <c r="AL273" s="83"/>
      <c r="AM273" s="83"/>
    </row>
    <row r="274" ht="13.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3"/>
      <c r="O274" s="83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  <c r="AB274" s="83"/>
      <c r="AC274" s="83"/>
      <c r="AD274" s="83"/>
      <c r="AE274" s="83"/>
      <c r="AF274" s="83"/>
      <c r="AG274" s="83"/>
      <c r="AH274" s="83"/>
      <c r="AI274" s="83"/>
      <c r="AJ274" s="83"/>
      <c r="AK274" s="83"/>
      <c r="AL274" s="83"/>
      <c r="AM274" s="83"/>
    </row>
    <row r="275" ht="13.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3"/>
      <c r="O275" s="83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  <c r="AB275" s="83"/>
      <c r="AC275" s="83"/>
      <c r="AD275" s="83"/>
      <c r="AE275" s="83"/>
      <c r="AF275" s="83"/>
      <c r="AG275" s="83"/>
      <c r="AH275" s="83"/>
      <c r="AI275" s="83"/>
      <c r="AJ275" s="83"/>
      <c r="AK275" s="83"/>
      <c r="AL275" s="83"/>
      <c r="AM275" s="83"/>
    </row>
    <row r="276" ht="13.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  <c r="AB276" s="83"/>
      <c r="AC276" s="83"/>
      <c r="AD276" s="83"/>
      <c r="AE276" s="83"/>
      <c r="AF276" s="83"/>
      <c r="AG276" s="83"/>
      <c r="AH276" s="83"/>
      <c r="AI276" s="83"/>
      <c r="AJ276" s="83"/>
      <c r="AK276" s="83"/>
      <c r="AL276" s="83"/>
      <c r="AM276" s="83"/>
    </row>
    <row r="277" ht="13.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3"/>
      <c r="O277" s="83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  <c r="AB277" s="83"/>
      <c r="AC277" s="83"/>
      <c r="AD277" s="83"/>
      <c r="AE277" s="83"/>
      <c r="AF277" s="83"/>
      <c r="AG277" s="83"/>
      <c r="AH277" s="83"/>
      <c r="AI277" s="83"/>
      <c r="AJ277" s="83"/>
      <c r="AK277" s="83"/>
      <c r="AL277" s="83"/>
      <c r="AM277" s="83"/>
    </row>
    <row r="278" ht="13.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  <c r="AB278" s="83"/>
      <c r="AC278" s="83"/>
      <c r="AD278" s="83"/>
      <c r="AE278" s="83"/>
      <c r="AF278" s="83"/>
      <c r="AG278" s="83"/>
      <c r="AH278" s="83"/>
      <c r="AI278" s="83"/>
      <c r="AJ278" s="83"/>
      <c r="AK278" s="83"/>
      <c r="AL278" s="83"/>
      <c r="AM278" s="83"/>
    </row>
    <row r="279" ht="13.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3"/>
      <c r="O279" s="83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  <c r="AB279" s="83"/>
      <c r="AC279" s="83"/>
      <c r="AD279" s="83"/>
      <c r="AE279" s="83"/>
      <c r="AF279" s="83"/>
      <c r="AG279" s="83"/>
      <c r="AH279" s="83"/>
      <c r="AI279" s="83"/>
      <c r="AJ279" s="83"/>
      <c r="AK279" s="83"/>
      <c r="AL279" s="83"/>
      <c r="AM279" s="83"/>
    </row>
    <row r="280" ht="13.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  <c r="AB280" s="83"/>
      <c r="AC280" s="83"/>
      <c r="AD280" s="83"/>
      <c r="AE280" s="83"/>
      <c r="AF280" s="83"/>
      <c r="AG280" s="83"/>
      <c r="AH280" s="83"/>
      <c r="AI280" s="83"/>
      <c r="AJ280" s="83"/>
      <c r="AK280" s="83"/>
      <c r="AL280" s="83"/>
      <c r="AM280" s="83"/>
    </row>
    <row r="281" ht="13.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3"/>
      <c r="O281" s="83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  <c r="AB281" s="83"/>
      <c r="AC281" s="83"/>
      <c r="AD281" s="83"/>
      <c r="AE281" s="83"/>
      <c r="AF281" s="83"/>
      <c r="AG281" s="83"/>
      <c r="AH281" s="83"/>
      <c r="AI281" s="83"/>
      <c r="AJ281" s="83"/>
      <c r="AK281" s="83"/>
      <c r="AL281" s="83"/>
      <c r="AM281" s="83"/>
    </row>
    <row r="282" ht="13.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  <c r="AB282" s="83"/>
      <c r="AC282" s="83"/>
      <c r="AD282" s="83"/>
      <c r="AE282" s="83"/>
      <c r="AF282" s="83"/>
      <c r="AG282" s="83"/>
      <c r="AH282" s="83"/>
      <c r="AI282" s="83"/>
      <c r="AJ282" s="83"/>
      <c r="AK282" s="83"/>
      <c r="AL282" s="83"/>
      <c r="AM282" s="83"/>
    </row>
    <row r="283" ht="13.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3"/>
      <c r="O283" s="83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  <c r="AB283" s="83"/>
      <c r="AC283" s="83"/>
      <c r="AD283" s="83"/>
      <c r="AE283" s="83"/>
      <c r="AF283" s="83"/>
      <c r="AG283" s="83"/>
      <c r="AH283" s="83"/>
      <c r="AI283" s="83"/>
      <c r="AJ283" s="83"/>
      <c r="AK283" s="83"/>
      <c r="AL283" s="83"/>
      <c r="AM283" s="83"/>
    </row>
    <row r="284" ht="13.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  <c r="AB284" s="83"/>
      <c r="AC284" s="83"/>
      <c r="AD284" s="83"/>
      <c r="AE284" s="83"/>
      <c r="AF284" s="83"/>
      <c r="AG284" s="83"/>
      <c r="AH284" s="83"/>
      <c r="AI284" s="83"/>
      <c r="AJ284" s="83"/>
      <c r="AK284" s="83"/>
      <c r="AL284" s="83"/>
      <c r="AM284" s="83"/>
    </row>
    <row r="285" ht="13.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3"/>
      <c r="O285" s="83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  <c r="AB285" s="83"/>
      <c r="AC285" s="83"/>
      <c r="AD285" s="83"/>
      <c r="AE285" s="83"/>
      <c r="AF285" s="83"/>
      <c r="AG285" s="83"/>
      <c r="AH285" s="83"/>
      <c r="AI285" s="83"/>
      <c r="AJ285" s="83"/>
      <c r="AK285" s="83"/>
      <c r="AL285" s="83"/>
      <c r="AM285" s="83"/>
    </row>
    <row r="286" ht="13.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  <c r="AB286" s="83"/>
      <c r="AC286" s="83"/>
      <c r="AD286" s="83"/>
      <c r="AE286" s="83"/>
      <c r="AF286" s="83"/>
      <c r="AG286" s="83"/>
      <c r="AH286" s="83"/>
      <c r="AI286" s="83"/>
      <c r="AJ286" s="83"/>
      <c r="AK286" s="83"/>
      <c r="AL286" s="83"/>
      <c r="AM286" s="83"/>
    </row>
    <row r="287" ht="13.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3"/>
      <c r="O287" s="83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  <c r="AB287" s="83"/>
      <c r="AC287" s="83"/>
      <c r="AD287" s="83"/>
      <c r="AE287" s="83"/>
      <c r="AF287" s="83"/>
      <c r="AG287" s="83"/>
      <c r="AH287" s="83"/>
      <c r="AI287" s="83"/>
      <c r="AJ287" s="83"/>
      <c r="AK287" s="83"/>
      <c r="AL287" s="83"/>
      <c r="AM287" s="83"/>
    </row>
    <row r="288" ht="13.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  <c r="AB288" s="83"/>
      <c r="AC288" s="83"/>
      <c r="AD288" s="83"/>
      <c r="AE288" s="83"/>
      <c r="AF288" s="83"/>
      <c r="AG288" s="83"/>
      <c r="AH288" s="83"/>
      <c r="AI288" s="83"/>
      <c r="AJ288" s="83"/>
      <c r="AK288" s="83"/>
      <c r="AL288" s="83"/>
      <c r="AM288" s="83"/>
    </row>
    <row r="289" ht="13.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3"/>
      <c r="O289" s="83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  <c r="AB289" s="83"/>
      <c r="AC289" s="83"/>
      <c r="AD289" s="83"/>
      <c r="AE289" s="83"/>
      <c r="AF289" s="83"/>
      <c r="AG289" s="83"/>
      <c r="AH289" s="83"/>
      <c r="AI289" s="83"/>
      <c r="AJ289" s="83"/>
      <c r="AK289" s="83"/>
      <c r="AL289" s="83"/>
      <c r="AM289" s="83"/>
    </row>
    <row r="290" ht="13.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  <c r="AB290" s="83"/>
      <c r="AC290" s="83"/>
      <c r="AD290" s="83"/>
      <c r="AE290" s="83"/>
      <c r="AF290" s="83"/>
      <c r="AG290" s="83"/>
      <c r="AH290" s="83"/>
      <c r="AI290" s="83"/>
      <c r="AJ290" s="83"/>
      <c r="AK290" s="83"/>
      <c r="AL290" s="83"/>
      <c r="AM290" s="83"/>
    </row>
    <row r="291" ht="13.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3"/>
      <c r="O291" s="83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  <c r="AB291" s="83"/>
      <c r="AC291" s="83"/>
      <c r="AD291" s="83"/>
      <c r="AE291" s="83"/>
      <c r="AF291" s="83"/>
      <c r="AG291" s="83"/>
      <c r="AH291" s="83"/>
      <c r="AI291" s="83"/>
      <c r="AJ291" s="83"/>
      <c r="AK291" s="83"/>
      <c r="AL291" s="83"/>
      <c r="AM291" s="83"/>
    </row>
    <row r="292" ht="13.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  <c r="AB292" s="83"/>
      <c r="AC292" s="83"/>
      <c r="AD292" s="83"/>
      <c r="AE292" s="83"/>
      <c r="AF292" s="83"/>
      <c r="AG292" s="83"/>
      <c r="AH292" s="83"/>
      <c r="AI292" s="83"/>
      <c r="AJ292" s="83"/>
      <c r="AK292" s="83"/>
      <c r="AL292" s="83"/>
      <c r="AM292" s="83"/>
    </row>
    <row r="293" ht="13.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3"/>
      <c r="O293" s="83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  <c r="AB293" s="83"/>
      <c r="AC293" s="83"/>
      <c r="AD293" s="83"/>
      <c r="AE293" s="83"/>
      <c r="AF293" s="83"/>
      <c r="AG293" s="83"/>
      <c r="AH293" s="83"/>
      <c r="AI293" s="83"/>
      <c r="AJ293" s="83"/>
      <c r="AK293" s="83"/>
      <c r="AL293" s="83"/>
      <c r="AM293" s="83"/>
    </row>
    <row r="294" ht="13.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  <c r="AB294" s="83"/>
      <c r="AC294" s="83"/>
      <c r="AD294" s="83"/>
      <c r="AE294" s="83"/>
      <c r="AF294" s="83"/>
      <c r="AG294" s="83"/>
      <c r="AH294" s="83"/>
      <c r="AI294" s="83"/>
      <c r="AJ294" s="83"/>
      <c r="AK294" s="83"/>
      <c r="AL294" s="83"/>
      <c r="AM294" s="83"/>
    </row>
    <row r="295" ht="13.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3"/>
      <c r="O295" s="83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  <c r="AB295" s="83"/>
      <c r="AC295" s="83"/>
      <c r="AD295" s="83"/>
      <c r="AE295" s="83"/>
      <c r="AF295" s="83"/>
      <c r="AG295" s="83"/>
      <c r="AH295" s="83"/>
      <c r="AI295" s="83"/>
      <c r="AJ295" s="83"/>
      <c r="AK295" s="83"/>
      <c r="AL295" s="83"/>
      <c r="AM295" s="83"/>
    </row>
    <row r="296" ht="13.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  <c r="AB296" s="83"/>
      <c r="AC296" s="83"/>
      <c r="AD296" s="83"/>
      <c r="AE296" s="83"/>
      <c r="AF296" s="83"/>
      <c r="AG296" s="83"/>
      <c r="AH296" s="83"/>
      <c r="AI296" s="83"/>
      <c r="AJ296" s="83"/>
      <c r="AK296" s="83"/>
      <c r="AL296" s="83"/>
      <c r="AM296" s="83"/>
    </row>
    <row r="297" ht="13.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3"/>
      <c r="O297" s="83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  <c r="AB297" s="83"/>
      <c r="AC297" s="83"/>
      <c r="AD297" s="83"/>
      <c r="AE297" s="83"/>
      <c r="AF297" s="83"/>
      <c r="AG297" s="83"/>
      <c r="AH297" s="83"/>
      <c r="AI297" s="83"/>
      <c r="AJ297" s="83"/>
      <c r="AK297" s="83"/>
      <c r="AL297" s="83"/>
      <c r="AM297" s="83"/>
    </row>
    <row r="298" ht="13.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  <c r="AB298" s="83"/>
      <c r="AC298" s="83"/>
      <c r="AD298" s="83"/>
      <c r="AE298" s="83"/>
      <c r="AF298" s="83"/>
      <c r="AG298" s="83"/>
      <c r="AH298" s="83"/>
      <c r="AI298" s="83"/>
      <c r="AJ298" s="83"/>
      <c r="AK298" s="83"/>
      <c r="AL298" s="83"/>
      <c r="AM298" s="83"/>
    </row>
    <row r="299" ht="13.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3"/>
      <c r="O299" s="83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  <c r="AB299" s="83"/>
      <c r="AC299" s="83"/>
      <c r="AD299" s="83"/>
      <c r="AE299" s="83"/>
      <c r="AF299" s="83"/>
      <c r="AG299" s="83"/>
      <c r="AH299" s="83"/>
      <c r="AI299" s="83"/>
      <c r="AJ299" s="83"/>
      <c r="AK299" s="83"/>
      <c r="AL299" s="83"/>
      <c r="AM299" s="83"/>
    </row>
    <row r="300" ht="13.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  <c r="AB300" s="83"/>
      <c r="AC300" s="83"/>
      <c r="AD300" s="83"/>
      <c r="AE300" s="83"/>
      <c r="AF300" s="83"/>
      <c r="AG300" s="83"/>
      <c r="AH300" s="83"/>
      <c r="AI300" s="83"/>
      <c r="AJ300" s="83"/>
      <c r="AK300" s="83"/>
      <c r="AL300" s="83"/>
      <c r="AM300" s="83"/>
    </row>
    <row r="301" ht="13.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3"/>
      <c r="O301" s="83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  <c r="AB301" s="83"/>
      <c r="AC301" s="83"/>
      <c r="AD301" s="83"/>
      <c r="AE301" s="83"/>
      <c r="AF301" s="83"/>
      <c r="AG301" s="83"/>
      <c r="AH301" s="83"/>
      <c r="AI301" s="83"/>
      <c r="AJ301" s="83"/>
      <c r="AK301" s="83"/>
      <c r="AL301" s="83"/>
      <c r="AM301" s="83"/>
    </row>
    <row r="302" ht="13.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3"/>
      <c r="AH302" s="83"/>
      <c r="AI302" s="83"/>
      <c r="AJ302" s="83"/>
      <c r="AK302" s="83"/>
      <c r="AL302" s="83"/>
      <c r="AM302" s="83"/>
    </row>
    <row r="303" ht="13.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3"/>
      <c r="O303" s="83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  <c r="AB303" s="83"/>
      <c r="AC303" s="83"/>
      <c r="AD303" s="83"/>
      <c r="AE303" s="83"/>
      <c r="AF303" s="83"/>
      <c r="AG303" s="83"/>
      <c r="AH303" s="83"/>
      <c r="AI303" s="83"/>
      <c r="AJ303" s="83"/>
      <c r="AK303" s="83"/>
      <c r="AL303" s="83"/>
      <c r="AM303" s="83"/>
    </row>
    <row r="304" ht="13.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  <c r="AB304" s="83"/>
      <c r="AC304" s="83"/>
      <c r="AD304" s="83"/>
      <c r="AE304" s="83"/>
      <c r="AF304" s="83"/>
      <c r="AG304" s="83"/>
      <c r="AH304" s="83"/>
      <c r="AI304" s="83"/>
      <c r="AJ304" s="83"/>
      <c r="AK304" s="83"/>
      <c r="AL304" s="83"/>
      <c r="AM304" s="83"/>
    </row>
    <row r="305" ht="13.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3"/>
      <c r="O305" s="83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  <c r="AB305" s="83"/>
      <c r="AC305" s="83"/>
      <c r="AD305" s="83"/>
      <c r="AE305" s="83"/>
      <c r="AF305" s="83"/>
      <c r="AG305" s="83"/>
      <c r="AH305" s="83"/>
      <c r="AI305" s="83"/>
      <c r="AJ305" s="83"/>
      <c r="AK305" s="83"/>
      <c r="AL305" s="83"/>
      <c r="AM305" s="83"/>
    </row>
    <row r="306" ht="13.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  <c r="AB306" s="83"/>
      <c r="AC306" s="83"/>
      <c r="AD306" s="83"/>
      <c r="AE306" s="83"/>
      <c r="AF306" s="83"/>
      <c r="AG306" s="83"/>
      <c r="AH306" s="83"/>
      <c r="AI306" s="83"/>
      <c r="AJ306" s="83"/>
      <c r="AK306" s="83"/>
      <c r="AL306" s="83"/>
      <c r="AM306" s="83"/>
    </row>
    <row r="307" ht="13.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3"/>
      <c r="O307" s="83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  <c r="AB307" s="83"/>
      <c r="AC307" s="83"/>
      <c r="AD307" s="83"/>
      <c r="AE307" s="83"/>
      <c r="AF307" s="83"/>
      <c r="AG307" s="83"/>
      <c r="AH307" s="83"/>
      <c r="AI307" s="83"/>
      <c r="AJ307" s="83"/>
      <c r="AK307" s="83"/>
      <c r="AL307" s="83"/>
      <c r="AM307" s="83"/>
    </row>
    <row r="308" ht="13.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  <c r="AB308" s="83"/>
      <c r="AC308" s="83"/>
      <c r="AD308" s="83"/>
      <c r="AE308" s="83"/>
      <c r="AF308" s="83"/>
      <c r="AG308" s="83"/>
      <c r="AH308" s="83"/>
      <c r="AI308" s="83"/>
      <c r="AJ308" s="83"/>
      <c r="AK308" s="83"/>
      <c r="AL308" s="83"/>
      <c r="AM308" s="83"/>
    </row>
    <row r="309" ht="13.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3"/>
      <c r="O309" s="83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  <c r="AB309" s="83"/>
      <c r="AC309" s="83"/>
      <c r="AD309" s="83"/>
      <c r="AE309" s="83"/>
      <c r="AF309" s="83"/>
      <c r="AG309" s="83"/>
      <c r="AH309" s="83"/>
      <c r="AI309" s="83"/>
      <c r="AJ309" s="83"/>
      <c r="AK309" s="83"/>
      <c r="AL309" s="83"/>
      <c r="AM309" s="83"/>
    </row>
    <row r="310" ht="13.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  <c r="AB310" s="83"/>
      <c r="AC310" s="83"/>
      <c r="AD310" s="83"/>
      <c r="AE310" s="83"/>
      <c r="AF310" s="83"/>
      <c r="AG310" s="83"/>
      <c r="AH310" s="83"/>
      <c r="AI310" s="83"/>
      <c r="AJ310" s="83"/>
      <c r="AK310" s="83"/>
      <c r="AL310" s="83"/>
      <c r="AM310" s="83"/>
    </row>
    <row r="311" ht="13.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3"/>
      <c r="O311" s="83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  <c r="AB311" s="83"/>
      <c r="AC311" s="83"/>
      <c r="AD311" s="83"/>
      <c r="AE311" s="83"/>
      <c r="AF311" s="83"/>
      <c r="AG311" s="83"/>
      <c r="AH311" s="83"/>
      <c r="AI311" s="83"/>
      <c r="AJ311" s="83"/>
      <c r="AK311" s="83"/>
      <c r="AL311" s="83"/>
      <c r="AM311" s="83"/>
    </row>
    <row r="312" ht="13.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  <c r="AB312" s="83"/>
      <c r="AC312" s="83"/>
      <c r="AD312" s="83"/>
      <c r="AE312" s="83"/>
      <c r="AF312" s="83"/>
      <c r="AG312" s="83"/>
      <c r="AH312" s="83"/>
      <c r="AI312" s="83"/>
      <c r="AJ312" s="83"/>
      <c r="AK312" s="83"/>
      <c r="AL312" s="83"/>
      <c r="AM312" s="83"/>
    </row>
    <row r="313" ht="13.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  <c r="AB313" s="83"/>
      <c r="AC313" s="83"/>
      <c r="AD313" s="83"/>
      <c r="AE313" s="83"/>
      <c r="AF313" s="83"/>
      <c r="AG313" s="83"/>
      <c r="AH313" s="83"/>
      <c r="AI313" s="83"/>
      <c r="AJ313" s="83"/>
      <c r="AK313" s="83"/>
      <c r="AL313" s="83"/>
      <c r="AM313" s="83"/>
    </row>
    <row r="314" ht="13.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  <c r="AB314" s="83"/>
      <c r="AC314" s="83"/>
      <c r="AD314" s="83"/>
      <c r="AE314" s="83"/>
      <c r="AF314" s="83"/>
      <c r="AG314" s="83"/>
      <c r="AH314" s="83"/>
      <c r="AI314" s="83"/>
      <c r="AJ314" s="83"/>
      <c r="AK314" s="83"/>
      <c r="AL314" s="83"/>
      <c r="AM314" s="83"/>
    </row>
    <row r="315" ht="13.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3"/>
      <c r="O315" s="83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  <c r="AB315" s="83"/>
      <c r="AC315" s="83"/>
      <c r="AD315" s="83"/>
      <c r="AE315" s="83"/>
      <c r="AF315" s="83"/>
      <c r="AG315" s="83"/>
      <c r="AH315" s="83"/>
      <c r="AI315" s="83"/>
      <c r="AJ315" s="83"/>
      <c r="AK315" s="83"/>
      <c r="AL315" s="83"/>
      <c r="AM315" s="83"/>
    </row>
    <row r="316" ht="13.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3"/>
      <c r="AF316" s="83"/>
      <c r="AG316" s="83"/>
      <c r="AH316" s="83"/>
      <c r="AI316" s="83"/>
      <c r="AJ316" s="83"/>
      <c r="AK316" s="83"/>
      <c r="AL316" s="83"/>
      <c r="AM316" s="83"/>
    </row>
    <row r="317" ht="13.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3"/>
      <c r="O317" s="83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  <c r="AB317" s="83"/>
      <c r="AC317" s="83"/>
      <c r="AD317" s="83"/>
      <c r="AE317" s="83"/>
      <c r="AF317" s="83"/>
      <c r="AG317" s="83"/>
      <c r="AH317" s="83"/>
      <c r="AI317" s="83"/>
      <c r="AJ317" s="83"/>
      <c r="AK317" s="83"/>
      <c r="AL317" s="83"/>
      <c r="AM317" s="83"/>
    </row>
    <row r="318" ht="13.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  <c r="AB318" s="83"/>
      <c r="AC318" s="83"/>
      <c r="AD318" s="83"/>
      <c r="AE318" s="83"/>
      <c r="AF318" s="83"/>
      <c r="AG318" s="83"/>
      <c r="AH318" s="83"/>
      <c r="AI318" s="83"/>
      <c r="AJ318" s="83"/>
      <c r="AK318" s="83"/>
      <c r="AL318" s="83"/>
      <c r="AM318" s="83"/>
    </row>
    <row r="319" ht="13.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3"/>
      <c r="O319" s="83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  <c r="AB319" s="83"/>
      <c r="AC319" s="83"/>
      <c r="AD319" s="83"/>
      <c r="AE319" s="83"/>
      <c r="AF319" s="83"/>
      <c r="AG319" s="83"/>
      <c r="AH319" s="83"/>
      <c r="AI319" s="83"/>
      <c r="AJ319" s="83"/>
      <c r="AK319" s="83"/>
      <c r="AL319" s="83"/>
      <c r="AM319" s="83"/>
    </row>
    <row r="320" ht="13.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  <c r="AB320" s="83"/>
      <c r="AC320" s="83"/>
      <c r="AD320" s="83"/>
      <c r="AE320" s="83"/>
      <c r="AF320" s="83"/>
      <c r="AG320" s="83"/>
      <c r="AH320" s="83"/>
      <c r="AI320" s="83"/>
      <c r="AJ320" s="83"/>
      <c r="AK320" s="83"/>
      <c r="AL320" s="83"/>
      <c r="AM320" s="83"/>
    </row>
    <row r="321" ht="13.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3"/>
      <c r="AH321" s="83"/>
      <c r="AI321" s="83"/>
      <c r="AJ321" s="83"/>
      <c r="AK321" s="83"/>
      <c r="AL321" s="83"/>
      <c r="AM321" s="83"/>
    </row>
    <row r="322" ht="13.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  <c r="AB322" s="83"/>
      <c r="AC322" s="83"/>
      <c r="AD322" s="83"/>
      <c r="AE322" s="83"/>
      <c r="AF322" s="83"/>
      <c r="AG322" s="83"/>
      <c r="AH322" s="83"/>
      <c r="AI322" s="83"/>
      <c r="AJ322" s="83"/>
      <c r="AK322" s="83"/>
      <c r="AL322" s="83"/>
      <c r="AM322" s="83"/>
    </row>
    <row r="323" ht="13.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3"/>
      <c r="O323" s="83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  <c r="AB323" s="83"/>
      <c r="AC323" s="83"/>
      <c r="AD323" s="83"/>
      <c r="AE323" s="83"/>
      <c r="AF323" s="83"/>
      <c r="AG323" s="83"/>
      <c r="AH323" s="83"/>
      <c r="AI323" s="83"/>
      <c r="AJ323" s="83"/>
      <c r="AK323" s="83"/>
      <c r="AL323" s="83"/>
      <c r="AM323" s="83"/>
    </row>
    <row r="324" ht="13.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  <c r="AB324" s="83"/>
      <c r="AC324" s="83"/>
      <c r="AD324" s="83"/>
      <c r="AE324" s="83"/>
      <c r="AF324" s="83"/>
      <c r="AG324" s="83"/>
      <c r="AH324" s="83"/>
      <c r="AI324" s="83"/>
      <c r="AJ324" s="83"/>
      <c r="AK324" s="83"/>
      <c r="AL324" s="83"/>
      <c r="AM324" s="83"/>
    </row>
    <row r="325" ht="13.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3"/>
      <c r="O325" s="83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  <c r="AB325" s="83"/>
      <c r="AC325" s="83"/>
      <c r="AD325" s="83"/>
      <c r="AE325" s="83"/>
      <c r="AF325" s="83"/>
      <c r="AG325" s="83"/>
      <c r="AH325" s="83"/>
      <c r="AI325" s="83"/>
      <c r="AJ325" s="83"/>
      <c r="AK325" s="83"/>
      <c r="AL325" s="83"/>
      <c r="AM325" s="83"/>
    </row>
    <row r="326" ht="13.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  <c r="AB326" s="83"/>
      <c r="AC326" s="83"/>
      <c r="AD326" s="83"/>
      <c r="AE326" s="83"/>
      <c r="AF326" s="83"/>
      <c r="AG326" s="83"/>
      <c r="AH326" s="83"/>
      <c r="AI326" s="83"/>
      <c r="AJ326" s="83"/>
      <c r="AK326" s="83"/>
      <c r="AL326" s="83"/>
      <c r="AM326" s="83"/>
    </row>
    <row r="327" ht="13.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3"/>
      <c r="AF327" s="83"/>
      <c r="AG327" s="83"/>
      <c r="AH327" s="83"/>
      <c r="AI327" s="83"/>
      <c r="AJ327" s="83"/>
      <c r="AK327" s="83"/>
      <c r="AL327" s="83"/>
      <c r="AM327" s="83"/>
    </row>
    <row r="328" ht="13.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  <c r="AB328" s="83"/>
      <c r="AC328" s="83"/>
      <c r="AD328" s="83"/>
      <c r="AE328" s="83"/>
      <c r="AF328" s="83"/>
      <c r="AG328" s="83"/>
      <c r="AH328" s="83"/>
      <c r="AI328" s="83"/>
      <c r="AJ328" s="83"/>
      <c r="AK328" s="83"/>
      <c r="AL328" s="83"/>
      <c r="AM328" s="83"/>
    </row>
    <row r="329" ht="13.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3"/>
      <c r="O329" s="83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  <c r="AB329" s="83"/>
      <c r="AC329" s="83"/>
      <c r="AD329" s="83"/>
      <c r="AE329" s="83"/>
      <c r="AF329" s="83"/>
      <c r="AG329" s="83"/>
      <c r="AH329" s="83"/>
      <c r="AI329" s="83"/>
      <c r="AJ329" s="83"/>
      <c r="AK329" s="83"/>
      <c r="AL329" s="83"/>
      <c r="AM329" s="83"/>
    </row>
    <row r="330" ht="13.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  <c r="AB330" s="83"/>
      <c r="AC330" s="83"/>
      <c r="AD330" s="83"/>
      <c r="AE330" s="83"/>
      <c r="AF330" s="83"/>
      <c r="AG330" s="83"/>
      <c r="AH330" s="83"/>
      <c r="AI330" s="83"/>
      <c r="AJ330" s="83"/>
      <c r="AK330" s="83"/>
      <c r="AL330" s="83"/>
      <c r="AM330" s="83"/>
    </row>
    <row r="331" ht="13.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3"/>
      <c r="AH331" s="83"/>
      <c r="AI331" s="83"/>
      <c r="AJ331" s="83"/>
      <c r="AK331" s="83"/>
      <c r="AL331" s="83"/>
      <c r="AM331" s="83"/>
    </row>
    <row r="332" ht="13.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  <c r="AB332" s="83"/>
      <c r="AC332" s="83"/>
      <c r="AD332" s="83"/>
      <c r="AE332" s="83"/>
      <c r="AF332" s="83"/>
      <c r="AG332" s="83"/>
      <c r="AH332" s="83"/>
      <c r="AI332" s="83"/>
      <c r="AJ332" s="83"/>
      <c r="AK332" s="83"/>
      <c r="AL332" s="83"/>
      <c r="AM332" s="83"/>
    </row>
    <row r="333" ht="13.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3"/>
      <c r="O333" s="83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  <c r="AB333" s="83"/>
      <c r="AC333" s="83"/>
      <c r="AD333" s="83"/>
      <c r="AE333" s="83"/>
      <c r="AF333" s="83"/>
      <c r="AG333" s="83"/>
      <c r="AH333" s="83"/>
      <c r="AI333" s="83"/>
      <c r="AJ333" s="83"/>
      <c r="AK333" s="83"/>
      <c r="AL333" s="83"/>
      <c r="AM333" s="83"/>
    </row>
    <row r="334" ht="13.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  <c r="AB334" s="83"/>
      <c r="AC334" s="83"/>
      <c r="AD334" s="83"/>
      <c r="AE334" s="83"/>
      <c r="AF334" s="83"/>
      <c r="AG334" s="83"/>
      <c r="AH334" s="83"/>
      <c r="AI334" s="83"/>
      <c r="AJ334" s="83"/>
      <c r="AK334" s="83"/>
      <c r="AL334" s="83"/>
      <c r="AM334" s="83"/>
    </row>
    <row r="335" ht="13.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3"/>
      <c r="O335" s="83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  <c r="AB335" s="83"/>
      <c r="AC335" s="83"/>
      <c r="AD335" s="83"/>
      <c r="AE335" s="83"/>
      <c r="AF335" s="83"/>
      <c r="AG335" s="83"/>
      <c r="AH335" s="83"/>
      <c r="AI335" s="83"/>
      <c r="AJ335" s="83"/>
      <c r="AK335" s="83"/>
      <c r="AL335" s="83"/>
      <c r="AM335" s="83"/>
    </row>
    <row r="336" ht="13.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  <c r="AB336" s="83"/>
      <c r="AC336" s="83"/>
      <c r="AD336" s="83"/>
      <c r="AE336" s="83"/>
      <c r="AF336" s="83"/>
      <c r="AG336" s="83"/>
      <c r="AH336" s="83"/>
      <c r="AI336" s="83"/>
      <c r="AJ336" s="83"/>
      <c r="AK336" s="83"/>
      <c r="AL336" s="83"/>
      <c r="AM336" s="83"/>
    </row>
    <row r="337" ht="13.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3"/>
      <c r="O337" s="83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  <c r="AB337" s="83"/>
      <c r="AC337" s="83"/>
      <c r="AD337" s="83"/>
      <c r="AE337" s="83"/>
      <c r="AF337" s="83"/>
      <c r="AG337" s="83"/>
      <c r="AH337" s="83"/>
      <c r="AI337" s="83"/>
      <c r="AJ337" s="83"/>
      <c r="AK337" s="83"/>
      <c r="AL337" s="83"/>
      <c r="AM337" s="83"/>
    </row>
    <row r="338" ht="13.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  <c r="AB338" s="83"/>
      <c r="AC338" s="83"/>
      <c r="AD338" s="83"/>
      <c r="AE338" s="83"/>
      <c r="AF338" s="83"/>
      <c r="AG338" s="83"/>
      <c r="AH338" s="83"/>
      <c r="AI338" s="83"/>
      <c r="AJ338" s="83"/>
      <c r="AK338" s="83"/>
      <c r="AL338" s="83"/>
      <c r="AM338" s="83"/>
    </row>
    <row r="339" ht="13.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3"/>
      <c r="O339" s="83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  <c r="AB339" s="83"/>
      <c r="AC339" s="83"/>
      <c r="AD339" s="83"/>
      <c r="AE339" s="83"/>
      <c r="AF339" s="83"/>
      <c r="AG339" s="83"/>
      <c r="AH339" s="83"/>
      <c r="AI339" s="83"/>
      <c r="AJ339" s="83"/>
      <c r="AK339" s="83"/>
      <c r="AL339" s="83"/>
      <c r="AM339" s="83"/>
    </row>
    <row r="340" ht="13.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  <c r="AB340" s="83"/>
      <c r="AC340" s="83"/>
      <c r="AD340" s="83"/>
      <c r="AE340" s="83"/>
      <c r="AF340" s="83"/>
      <c r="AG340" s="83"/>
      <c r="AH340" s="83"/>
      <c r="AI340" s="83"/>
      <c r="AJ340" s="83"/>
      <c r="AK340" s="83"/>
      <c r="AL340" s="83"/>
      <c r="AM340" s="83"/>
    </row>
    <row r="341" ht="13.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3"/>
      <c r="AH341" s="83"/>
      <c r="AI341" s="83"/>
      <c r="AJ341" s="83"/>
      <c r="AK341" s="83"/>
      <c r="AL341" s="83"/>
      <c r="AM341" s="83"/>
    </row>
    <row r="342" ht="13.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3"/>
      <c r="O342" s="83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  <c r="AB342" s="83"/>
      <c r="AC342" s="83"/>
      <c r="AD342" s="83"/>
      <c r="AE342" s="83"/>
      <c r="AF342" s="83"/>
      <c r="AG342" s="83"/>
      <c r="AH342" s="83"/>
      <c r="AI342" s="83"/>
      <c r="AJ342" s="83"/>
      <c r="AK342" s="83"/>
      <c r="AL342" s="83"/>
      <c r="AM342" s="83"/>
    </row>
    <row r="343" ht="13.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3"/>
      <c r="O343" s="83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  <c r="AB343" s="83"/>
      <c r="AC343" s="83"/>
      <c r="AD343" s="83"/>
      <c r="AE343" s="83"/>
      <c r="AF343" s="83"/>
      <c r="AG343" s="83"/>
      <c r="AH343" s="83"/>
      <c r="AI343" s="83"/>
      <c r="AJ343" s="83"/>
      <c r="AK343" s="83"/>
      <c r="AL343" s="83"/>
      <c r="AM343" s="83"/>
    </row>
    <row r="344" ht="13.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3"/>
      <c r="O344" s="83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  <c r="AB344" s="83"/>
      <c r="AC344" s="83"/>
      <c r="AD344" s="83"/>
      <c r="AE344" s="83"/>
      <c r="AF344" s="83"/>
      <c r="AG344" s="83"/>
      <c r="AH344" s="83"/>
      <c r="AI344" s="83"/>
      <c r="AJ344" s="83"/>
      <c r="AK344" s="83"/>
      <c r="AL344" s="83"/>
      <c r="AM344" s="83"/>
    </row>
    <row r="345" ht="13.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3"/>
      <c r="O345" s="83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  <c r="AB345" s="83"/>
      <c r="AC345" s="83"/>
      <c r="AD345" s="83"/>
      <c r="AE345" s="83"/>
      <c r="AF345" s="83"/>
      <c r="AG345" s="83"/>
      <c r="AH345" s="83"/>
      <c r="AI345" s="83"/>
      <c r="AJ345" s="83"/>
      <c r="AK345" s="83"/>
      <c r="AL345" s="83"/>
      <c r="AM345" s="83"/>
    </row>
    <row r="346" ht="13.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  <c r="AB346" s="83"/>
      <c r="AC346" s="83"/>
      <c r="AD346" s="83"/>
      <c r="AE346" s="83"/>
      <c r="AF346" s="83"/>
      <c r="AG346" s="83"/>
      <c r="AH346" s="83"/>
      <c r="AI346" s="83"/>
      <c r="AJ346" s="83"/>
      <c r="AK346" s="83"/>
      <c r="AL346" s="83"/>
      <c r="AM346" s="83"/>
    </row>
    <row r="347" ht="13.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3"/>
      <c r="O347" s="83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  <c r="AB347" s="83"/>
      <c r="AC347" s="83"/>
      <c r="AD347" s="83"/>
      <c r="AE347" s="83"/>
      <c r="AF347" s="83"/>
      <c r="AG347" s="83"/>
      <c r="AH347" s="83"/>
      <c r="AI347" s="83"/>
      <c r="AJ347" s="83"/>
      <c r="AK347" s="83"/>
      <c r="AL347" s="83"/>
      <c r="AM347" s="83"/>
    </row>
    <row r="348" ht="13.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3"/>
      <c r="O348" s="83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  <c r="AB348" s="83"/>
      <c r="AC348" s="83"/>
      <c r="AD348" s="83"/>
      <c r="AE348" s="83"/>
      <c r="AF348" s="83"/>
      <c r="AG348" s="83"/>
      <c r="AH348" s="83"/>
      <c r="AI348" s="83"/>
      <c r="AJ348" s="83"/>
      <c r="AK348" s="83"/>
      <c r="AL348" s="83"/>
      <c r="AM348" s="83"/>
    </row>
    <row r="349" ht="13.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3"/>
      <c r="O349" s="83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  <c r="AB349" s="83"/>
      <c r="AC349" s="83"/>
      <c r="AD349" s="83"/>
      <c r="AE349" s="83"/>
      <c r="AF349" s="83"/>
      <c r="AG349" s="83"/>
      <c r="AH349" s="83"/>
      <c r="AI349" s="83"/>
      <c r="AJ349" s="83"/>
      <c r="AK349" s="83"/>
      <c r="AL349" s="83"/>
      <c r="AM349" s="83"/>
    </row>
    <row r="350" ht="13.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3"/>
      <c r="O350" s="83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  <c r="AB350" s="83"/>
      <c r="AC350" s="83"/>
      <c r="AD350" s="83"/>
      <c r="AE350" s="83"/>
      <c r="AF350" s="83"/>
      <c r="AG350" s="83"/>
      <c r="AH350" s="83"/>
      <c r="AI350" s="83"/>
      <c r="AJ350" s="83"/>
      <c r="AK350" s="83"/>
      <c r="AL350" s="83"/>
      <c r="AM350" s="83"/>
    </row>
    <row r="351" ht="13.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3"/>
      <c r="AH351" s="83"/>
      <c r="AI351" s="83"/>
      <c r="AJ351" s="83"/>
      <c r="AK351" s="83"/>
      <c r="AL351" s="83"/>
      <c r="AM351" s="83"/>
    </row>
    <row r="352" ht="13.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3"/>
      <c r="O352" s="83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  <c r="AB352" s="83"/>
      <c r="AC352" s="83"/>
      <c r="AD352" s="83"/>
      <c r="AE352" s="83"/>
      <c r="AF352" s="83"/>
      <c r="AG352" s="83"/>
      <c r="AH352" s="83"/>
      <c r="AI352" s="83"/>
      <c r="AJ352" s="83"/>
      <c r="AK352" s="83"/>
      <c r="AL352" s="83"/>
      <c r="AM352" s="83"/>
    </row>
    <row r="353" ht="13.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3"/>
      <c r="O353" s="83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  <c r="AB353" s="83"/>
      <c r="AC353" s="83"/>
      <c r="AD353" s="83"/>
      <c r="AE353" s="83"/>
      <c r="AF353" s="83"/>
      <c r="AG353" s="83"/>
      <c r="AH353" s="83"/>
      <c r="AI353" s="83"/>
      <c r="AJ353" s="83"/>
      <c r="AK353" s="83"/>
      <c r="AL353" s="83"/>
      <c r="AM353" s="83"/>
    </row>
    <row r="354" ht="13.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3"/>
      <c r="O354" s="83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  <c r="AB354" s="83"/>
      <c r="AC354" s="83"/>
      <c r="AD354" s="83"/>
      <c r="AE354" s="83"/>
      <c r="AF354" s="83"/>
      <c r="AG354" s="83"/>
      <c r="AH354" s="83"/>
      <c r="AI354" s="83"/>
      <c r="AJ354" s="83"/>
      <c r="AK354" s="83"/>
      <c r="AL354" s="83"/>
      <c r="AM354" s="83"/>
    </row>
    <row r="355" ht="13.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3"/>
      <c r="O355" s="83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  <c r="AB355" s="83"/>
      <c r="AC355" s="83"/>
      <c r="AD355" s="83"/>
      <c r="AE355" s="83"/>
      <c r="AF355" s="83"/>
      <c r="AG355" s="83"/>
      <c r="AH355" s="83"/>
      <c r="AI355" s="83"/>
      <c r="AJ355" s="83"/>
      <c r="AK355" s="83"/>
      <c r="AL355" s="83"/>
      <c r="AM355" s="83"/>
    </row>
    <row r="356" ht="13.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3"/>
      <c r="O356" s="83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  <c r="AB356" s="83"/>
      <c r="AC356" s="83"/>
      <c r="AD356" s="83"/>
      <c r="AE356" s="83"/>
      <c r="AF356" s="83"/>
      <c r="AG356" s="83"/>
      <c r="AH356" s="83"/>
      <c r="AI356" s="83"/>
      <c r="AJ356" s="83"/>
      <c r="AK356" s="83"/>
      <c r="AL356" s="83"/>
      <c r="AM356" s="83"/>
    </row>
    <row r="357" ht="13.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3"/>
      <c r="O357" s="83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  <c r="AB357" s="83"/>
      <c r="AC357" s="83"/>
      <c r="AD357" s="83"/>
      <c r="AE357" s="83"/>
      <c r="AF357" s="83"/>
      <c r="AG357" s="83"/>
      <c r="AH357" s="83"/>
      <c r="AI357" s="83"/>
      <c r="AJ357" s="83"/>
      <c r="AK357" s="83"/>
      <c r="AL357" s="83"/>
      <c r="AM357" s="83"/>
    </row>
    <row r="358" ht="13.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3"/>
      <c r="O358" s="83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  <c r="AB358" s="83"/>
      <c r="AC358" s="83"/>
      <c r="AD358" s="83"/>
      <c r="AE358" s="83"/>
      <c r="AF358" s="83"/>
      <c r="AG358" s="83"/>
      <c r="AH358" s="83"/>
      <c r="AI358" s="83"/>
      <c r="AJ358" s="83"/>
      <c r="AK358" s="83"/>
      <c r="AL358" s="83"/>
      <c r="AM358" s="83"/>
    </row>
    <row r="359" ht="13.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3"/>
      <c r="O359" s="83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  <c r="AB359" s="83"/>
      <c r="AC359" s="83"/>
      <c r="AD359" s="83"/>
      <c r="AE359" s="83"/>
      <c r="AF359" s="83"/>
      <c r="AG359" s="83"/>
      <c r="AH359" s="83"/>
      <c r="AI359" s="83"/>
      <c r="AJ359" s="83"/>
      <c r="AK359" s="83"/>
      <c r="AL359" s="83"/>
      <c r="AM359" s="83"/>
    </row>
    <row r="360" ht="13.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3"/>
      <c r="AH360" s="83"/>
      <c r="AI360" s="83"/>
      <c r="AJ360" s="83"/>
      <c r="AK360" s="83"/>
      <c r="AL360" s="83"/>
      <c r="AM360" s="83"/>
    </row>
    <row r="361" ht="13.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3"/>
      <c r="O361" s="83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  <c r="AB361" s="83"/>
      <c r="AC361" s="83"/>
      <c r="AD361" s="83"/>
      <c r="AE361" s="83"/>
      <c r="AF361" s="83"/>
      <c r="AG361" s="83"/>
      <c r="AH361" s="83"/>
      <c r="AI361" s="83"/>
      <c r="AJ361" s="83"/>
      <c r="AK361" s="83"/>
      <c r="AL361" s="83"/>
      <c r="AM361" s="83"/>
    </row>
    <row r="362" ht="13.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3"/>
      <c r="O362" s="83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  <c r="AB362" s="83"/>
      <c r="AC362" s="83"/>
      <c r="AD362" s="83"/>
      <c r="AE362" s="83"/>
      <c r="AF362" s="83"/>
      <c r="AG362" s="83"/>
      <c r="AH362" s="83"/>
      <c r="AI362" s="83"/>
      <c r="AJ362" s="83"/>
      <c r="AK362" s="83"/>
      <c r="AL362" s="83"/>
      <c r="AM362" s="83"/>
    </row>
    <row r="363" ht="13.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3"/>
      <c r="O363" s="83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  <c r="AB363" s="83"/>
      <c r="AC363" s="83"/>
      <c r="AD363" s="83"/>
      <c r="AE363" s="83"/>
      <c r="AF363" s="83"/>
      <c r="AG363" s="83"/>
      <c r="AH363" s="83"/>
      <c r="AI363" s="83"/>
      <c r="AJ363" s="83"/>
      <c r="AK363" s="83"/>
      <c r="AL363" s="83"/>
      <c r="AM363" s="83"/>
    </row>
    <row r="364" ht="13.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3"/>
      <c r="O364" s="83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  <c r="AB364" s="83"/>
      <c r="AC364" s="83"/>
      <c r="AD364" s="83"/>
      <c r="AE364" s="83"/>
      <c r="AF364" s="83"/>
      <c r="AG364" s="83"/>
      <c r="AH364" s="83"/>
      <c r="AI364" s="83"/>
      <c r="AJ364" s="83"/>
      <c r="AK364" s="83"/>
      <c r="AL364" s="83"/>
      <c r="AM364" s="83"/>
    </row>
    <row r="365" ht="13.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3"/>
      <c r="O365" s="83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  <c r="AB365" s="83"/>
      <c r="AC365" s="83"/>
      <c r="AD365" s="83"/>
      <c r="AE365" s="83"/>
      <c r="AF365" s="83"/>
      <c r="AG365" s="83"/>
      <c r="AH365" s="83"/>
      <c r="AI365" s="83"/>
      <c r="AJ365" s="83"/>
      <c r="AK365" s="83"/>
      <c r="AL365" s="83"/>
      <c r="AM365" s="83"/>
    </row>
    <row r="366" ht="13.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3"/>
      <c r="O366" s="83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  <c r="AB366" s="83"/>
      <c r="AC366" s="83"/>
      <c r="AD366" s="83"/>
      <c r="AE366" s="83"/>
      <c r="AF366" s="83"/>
      <c r="AG366" s="83"/>
      <c r="AH366" s="83"/>
      <c r="AI366" s="83"/>
      <c r="AJ366" s="83"/>
      <c r="AK366" s="83"/>
      <c r="AL366" s="83"/>
      <c r="AM366" s="83"/>
    </row>
    <row r="367" ht="13.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3"/>
      <c r="O367" s="83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  <c r="AB367" s="83"/>
      <c r="AC367" s="83"/>
      <c r="AD367" s="83"/>
      <c r="AE367" s="83"/>
      <c r="AF367" s="83"/>
      <c r="AG367" s="83"/>
      <c r="AH367" s="83"/>
      <c r="AI367" s="83"/>
      <c r="AJ367" s="83"/>
      <c r="AK367" s="83"/>
      <c r="AL367" s="83"/>
      <c r="AM367" s="83"/>
    </row>
    <row r="368" ht="13.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3"/>
      <c r="O368" s="83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  <c r="AB368" s="83"/>
      <c r="AC368" s="83"/>
      <c r="AD368" s="83"/>
      <c r="AE368" s="83"/>
      <c r="AF368" s="83"/>
      <c r="AG368" s="83"/>
      <c r="AH368" s="83"/>
      <c r="AI368" s="83"/>
      <c r="AJ368" s="83"/>
      <c r="AK368" s="83"/>
      <c r="AL368" s="83"/>
      <c r="AM368" s="83"/>
    </row>
    <row r="369" ht="13.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3"/>
      <c r="O369" s="83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  <c r="AB369" s="83"/>
      <c r="AC369" s="83"/>
      <c r="AD369" s="83"/>
      <c r="AE369" s="83"/>
      <c r="AF369" s="83"/>
      <c r="AG369" s="83"/>
      <c r="AH369" s="83"/>
      <c r="AI369" s="83"/>
      <c r="AJ369" s="83"/>
      <c r="AK369" s="83"/>
      <c r="AL369" s="83"/>
      <c r="AM369" s="83"/>
    </row>
    <row r="370" ht="13.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3"/>
      <c r="O370" s="83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  <c r="AB370" s="83"/>
      <c r="AC370" s="83"/>
      <c r="AD370" s="83"/>
      <c r="AE370" s="83"/>
      <c r="AF370" s="83"/>
      <c r="AG370" s="83"/>
      <c r="AH370" s="83"/>
      <c r="AI370" s="83"/>
      <c r="AJ370" s="83"/>
      <c r="AK370" s="83"/>
      <c r="AL370" s="83"/>
      <c r="AM370" s="83"/>
    </row>
    <row r="371" ht="13.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3"/>
      <c r="O371" s="83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  <c r="AB371" s="83"/>
      <c r="AC371" s="83"/>
      <c r="AD371" s="83"/>
      <c r="AE371" s="83"/>
      <c r="AF371" s="83"/>
      <c r="AG371" s="83"/>
      <c r="AH371" s="83"/>
      <c r="AI371" s="83"/>
      <c r="AJ371" s="83"/>
      <c r="AK371" s="83"/>
      <c r="AL371" s="83"/>
      <c r="AM371" s="83"/>
    </row>
    <row r="372" ht="13.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3"/>
      <c r="O372" s="83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  <c r="AB372" s="83"/>
      <c r="AC372" s="83"/>
      <c r="AD372" s="83"/>
      <c r="AE372" s="83"/>
      <c r="AF372" s="83"/>
      <c r="AG372" s="83"/>
      <c r="AH372" s="83"/>
      <c r="AI372" s="83"/>
      <c r="AJ372" s="83"/>
      <c r="AK372" s="83"/>
      <c r="AL372" s="83"/>
      <c r="AM372" s="83"/>
    </row>
    <row r="373" ht="13.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3"/>
      <c r="O373" s="83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  <c r="AB373" s="83"/>
      <c r="AC373" s="83"/>
      <c r="AD373" s="83"/>
      <c r="AE373" s="83"/>
      <c r="AF373" s="83"/>
      <c r="AG373" s="83"/>
      <c r="AH373" s="83"/>
      <c r="AI373" s="83"/>
      <c r="AJ373" s="83"/>
      <c r="AK373" s="83"/>
      <c r="AL373" s="83"/>
      <c r="AM373" s="83"/>
    </row>
    <row r="374" ht="13.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3"/>
      <c r="O374" s="83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  <c r="AB374" s="83"/>
      <c r="AC374" s="83"/>
      <c r="AD374" s="83"/>
      <c r="AE374" s="83"/>
      <c r="AF374" s="83"/>
      <c r="AG374" s="83"/>
      <c r="AH374" s="83"/>
      <c r="AI374" s="83"/>
      <c r="AJ374" s="83"/>
      <c r="AK374" s="83"/>
      <c r="AL374" s="83"/>
      <c r="AM374" s="83"/>
    </row>
    <row r="375" ht="13.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3"/>
      <c r="O375" s="83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  <c r="AB375" s="83"/>
      <c r="AC375" s="83"/>
      <c r="AD375" s="83"/>
      <c r="AE375" s="83"/>
      <c r="AF375" s="83"/>
      <c r="AG375" s="83"/>
      <c r="AH375" s="83"/>
      <c r="AI375" s="83"/>
      <c r="AJ375" s="83"/>
      <c r="AK375" s="83"/>
      <c r="AL375" s="83"/>
      <c r="AM375" s="83"/>
    </row>
    <row r="376" ht="13.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3"/>
      <c r="O376" s="83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  <c r="AB376" s="83"/>
      <c r="AC376" s="83"/>
      <c r="AD376" s="83"/>
      <c r="AE376" s="83"/>
      <c r="AF376" s="83"/>
      <c r="AG376" s="83"/>
      <c r="AH376" s="83"/>
      <c r="AI376" s="83"/>
      <c r="AJ376" s="83"/>
      <c r="AK376" s="83"/>
      <c r="AL376" s="83"/>
      <c r="AM376" s="83"/>
    </row>
    <row r="377" ht="13.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3"/>
      <c r="O377" s="83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  <c r="AB377" s="83"/>
      <c r="AC377" s="83"/>
      <c r="AD377" s="83"/>
      <c r="AE377" s="83"/>
      <c r="AF377" s="83"/>
      <c r="AG377" s="83"/>
      <c r="AH377" s="83"/>
      <c r="AI377" s="83"/>
      <c r="AJ377" s="83"/>
      <c r="AK377" s="83"/>
      <c r="AL377" s="83"/>
      <c r="AM377" s="83"/>
    </row>
    <row r="378" ht="13.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3"/>
      <c r="O378" s="83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  <c r="AB378" s="83"/>
      <c r="AC378" s="83"/>
      <c r="AD378" s="83"/>
      <c r="AE378" s="83"/>
      <c r="AF378" s="83"/>
      <c r="AG378" s="83"/>
      <c r="AH378" s="83"/>
      <c r="AI378" s="83"/>
      <c r="AJ378" s="83"/>
      <c r="AK378" s="83"/>
      <c r="AL378" s="83"/>
      <c r="AM378" s="83"/>
    </row>
    <row r="379" ht="13.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3"/>
      <c r="O379" s="83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  <c r="AB379" s="83"/>
      <c r="AC379" s="83"/>
      <c r="AD379" s="83"/>
      <c r="AE379" s="83"/>
      <c r="AF379" s="83"/>
      <c r="AG379" s="83"/>
      <c r="AH379" s="83"/>
      <c r="AI379" s="83"/>
      <c r="AJ379" s="83"/>
      <c r="AK379" s="83"/>
      <c r="AL379" s="83"/>
      <c r="AM379" s="83"/>
    </row>
    <row r="380" ht="13.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3"/>
      <c r="AH380" s="83"/>
      <c r="AI380" s="83"/>
      <c r="AJ380" s="83"/>
      <c r="AK380" s="83"/>
      <c r="AL380" s="83"/>
      <c r="AM380" s="83"/>
    </row>
    <row r="381" ht="13.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  <c r="AB381" s="83"/>
      <c r="AC381" s="83"/>
      <c r="AD381" s="83"/>
      <c r="AE381" s="83"/>
      <c r="AF381" s="83"/>
      <c r="AG381" s="83"/>
      <c r="AH381" s="83"/>
      <c r="AI381" s="83"/>
      <c r="AJ381" s="83"/>
      <c r="AK381" s="83"/>
      <c r="AL381" s="83"/>
      <c r="AM381" s="83"/>
    </row>
    <row r="382" ht="13.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3"/>
      <c r="O382" s="83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  <c r="AB382" s="83"/>
      <c r="AC382" s="83"/>
      <c r="AD382" s="83"/>
      <c r="AE382" s="83"/>
      <c r="AF382" s="83"/>
      <c r="AG382" s="83"/>
      <c r="AH382" s="83"/>
      <c r="AI382" s="83"/>
      <c r="AJ382" s="83"/>
      <c r="AK382" s="83"/>
      <c r="AL382" s="83"/>
      <c r="AM382" s="83"/>
    </row>
    <row r="383" ht="13.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3"/>
      <c r="O383" s="83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  <c r="AB383" s="83"/>
      <c r="AC383" s="83"/>
      <c r="AD383" s="83"/>
      <c r="AE383" s="83"/>
      <c r="AF383" s="83"/>
      <c r="AG383" s="83"/>
      <c r="AH383" s="83"/>
      <c r="AI383" s="83"/>
      <c r="AJ383" s="83"/>
      <c r="AK383" s="83"/>
      <c r="AL383" s="83"/>
      <c r="AM383" s="83"/>
    </row>
    <row r="384" ht="13.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3"/>
      <c r="O384" s="83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  <c r="AB384" s="83"/>
      <c r="AC384" s="83"/>
      <c r="AD384" s="83"/>
      <c r="AE384" s="83"/>
      <c r="AF384" s="83"/>
      <c r="AG384" s="83"/>
      <c r="AH384" s="83"/>
      <c r="AI384" s="83"/>
      <c r="AJ384" s="83"/>
      <c r="AK384" s="83"/>
      <c r="AL384" s="83"/>
      <c r="AM384" s="83"/>
    </row>
    <row r="385" ht="13.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3"/>
      <c r="O385" s="83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  <c r="AB385" s="83"/>
      <c r="AC385" s="83"/>
      <c r="AD385" s="83"/>
      <c r="AE385" s="83"/>
      <c r="AF385" s="83"/>
      <c r="AG385" s="83"/>
      <c r="AH385" s="83"/>
      <c r="AI385" s="83"/>
      <c r="AJ385" s="83"/>
      <c r="AK385" s="83"/>
      <c r="AL385" s="83"/>
      <c r="AM385" s="83"/>
    </row>
    <row r="386" ht="13.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3"/>
      <c r="O386" s="83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  <c r="AB386" s="83"/>
      <c r="AC386" s="83"/>
      <c r="AD386" s="83"/>
      <c r="AE386" s="83"/>
      <c r="AF386" s="83"/>
      <c r="AG386" s="83"/>
      <c r="AH386" s="83"/>
      <c r="AI386" s="83"/>
      <c r="AJ386" s="83"/>
      <c r="AK386" s="83"/>
      <c r="AL386" s="83"/>
      <c r="AM386" s="83"/>
    </row>
    <row r="387" ht="13.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3"/>
      <c r="O387" s="83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  <c r="AB387" s="83"/>
      <c r="AC387" s="83"/>
      <c r="AD387" s="83"/>
      <c r="AE387" s="83"/>
      <c r="AF387" s="83"/>
      <c r="AG387" s="83"/>
      <c r="AH387" s="83"/>
      <c r="AI387" s="83"/>
      <c r="AJ387" s="83"/>
      <c r="AK387" s="83"/>
      <c r="AL387" s="83"/>
      <c r="AM387" s="83"/>
    </row>
    <row r="388" ht="13.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3"/>
      <c r="O388" s="83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  <c r="AB388" s="83"/>
      <c r="AC388" s="83"/>
      <c r="AD388" s="83"/>
      <c r="AE388" s="83"/>
      <c r="AF388" s="83"/>
      <c r="AG388" s="83"/>
      <c r="AH388" s="83"/>
      <c r="AI388" s="83"/>
      <c r="AJ388" s="83"/>
      <c r="AK388" s="83"/>
      <c r="AL388" s="83"/>
      <c r="AM388" s="83"/>
    </row>
    <row r="389" ht="13.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3"/>
      <c r="O389" s="83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  <c r="AB389" s="83"/>
      <c r="AC389" s="83"/>
      <c r="AD389" s="83"/>
      <c r="AE389" s="83"/>
      <c r="AF389" s="83"/>
      <c r="AG389" s="83"/>
      <c r="AH389" s="83"/>
      <c r="AI389" s="83"/>
      <c r="AJ389" s="83"/>
      <c r="AK389" s="83"/>
      <c r="AL389" s="83"/>
      <c r="AM389" s="83"/>
    </row>
    <row r="390" ht="13.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3"/>
      <c r="AH390" s="83"/>
      <c r="AI390" s="83"/>
      <c r="AJ390" s="83"/>
      <c r="AK390" s="83"/>
      <c r="AL390" s="83"/>
      <c r="AM390" s="83"/>
    </row>
    <row r="391" ht="13.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3"/>
      <c r="O391" s="83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  <c r="AB391" s="83"/>
      <c r="AC391" s="83"/>
      <c r="AD391" s="83"/>
      <c r="AE391" s="83"/>
      <c r="AF391" s="83"/>
      <c r="AG391" s="83"/>
      <c r="AH391" s="83"/>
      <c r="AI391" s="83"/>
      <c r="AJ391" s="83"/>
      <c r="AK391" s="83"/>
      <c r="AL391" s="83"/>
      <c r="AM391" s="83"/>
    </row>
    <row r="392" ht="13.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3"/>
      <c r="O392" s="83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  <c r="AB392" s="83"/>
      <c r="AC392" s="83"/>
      <c r="AD392" s="83"/>
      <c r="AE392" s="83"/>
      <c r="AF392" s="83"/>
      <c r="AG392" s="83"/>
      <c r="AH392" s="83"/>
      <c r="AI392" s="83"/>
      <c r="AJ392" s="83"/>
      <c r="AK392" s="83"/>
      <c r="AL392" s="83"/>
      <c r="AM392" s="83"/>
    </row>
    <row r="393" ht="13.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3"/>
      <c r="O393" s="83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  <c r="AB393" s="83"/>
      <c r="AC393" s="83"/>
      <c r="AD393" s="83"/>
      <c r="AE393" s="83"/>
      <c r="AF393" s="83"/>
      <c r="AG393" s="83"/>
      <c r="AH393" s="83"/>
      <c r="AI393" s="83"/>
      <c r="AJ393" s="83"/>
      <c r="AK393" s="83"/>
      <c r="AL393" s="83"/>
      <c r="AM393" s="83"/>
    </row>
    <row r="394" ht="13.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3"/>
      <c r="O394" s="83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  <c r="AB394" s="83"/>
      <c r="AC394" s="83"/>
      <c r="AD394" s="83"/>
      <c r="AE394" s="83"/>
      <c r="AF394" s="83"/>
      <c r="AG394" s="83"/>
      <c r="AH394" s="83"/>
      <c r="AI394" s="83"/>
      <c r="AJ394" s="83"/>
      <c r="AK394" s="83"/>
      <c r="AL394" s="83"/>
      <c r="AM394" s="83"/>
    </row>
    <row r="395" ht="13.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3"/>
      <c r="O395" s="83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  <c r="AB395" s="83"/>
      <c r="AC395" s="83"/>
      <c r="AD395" s="83"/>
      <c r="AE395" s="83"/>
      <c r="AF395" s="83"/>
      <c r="AG395" s="83"/>
      <c r="AH395" s="83"/>
      <c r="AI395" s="83"/>
      <c r="AJ395" s="83"/>
      <c r="AK395" s="83"/>
      <c r="AL395" s="83"/>
      <c r="AM395" s="83"/>
    </row>
    <row r="396" ht="13.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3"/>
      <c r="O396" s="83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  <c r="AB396" s="83"/>
      <c r="AC396" s="83"/>
      <c r="AD396" s="83"/>
      <c r="AE396" s="83"/>
      <c r="AF396" s="83"/>
      <c r="AG396" s="83"/>
      <c r="AH396" s="83"/>
      <c r="AI396" s="83"/>
      <c r="AJ396" s="83"/>
      <c r="AK396" s="83"/>
      <c r="AL396" s="83"/>
      <c r="AM396" s="83"/>
    </row>
    <row r="397" ht="13.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3"/>
      <c r="O397" s="83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  <c r="AB397" s="83"/>
      <c r="AC397" s="83"/>
      <c r="AD397" s="83"/>
      <c r="AE397" s="83"/>
      <c r="AF397" s="83"/>
      <c r="AG397" s="83"/>
      <c r="AH397" s="83"/>
      <c r="AI397" s="83"/>
      <c r="AJ397" s="83"/>
      <c r="AK397" s="83"/>
      <c r="AL397" s="83"/>
      <c r="AM397" s="83"/>
    </row>
    <row r="398" ht="13.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3"/>
      <c r="O398" s="83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  <c r="AB398" s="83"/>
      <c r="AC398" s="83"/>
      <c r="AD398" s="83"/>
      <c r="AE398" s="83"/>
      <c r="AF398" s="83"/>
      <c r="AG398" s="83"/>
      <c r="AH398" s="83"/>
      <c r="AI398" s="83"/>
      <c r="AJ398" s="83"/>
      <c r="AK398" s="83"/>
      <c r="AL398" s="83"/>
      <c r="AM398" s="83"/>
    </row>
    <row r="399" ht="13.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3"/>
      <c r="O399" s="83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  <c r="AB399" s="83"/>
      <c r="AC399" s="83"/>
      <c r="AD399" s="83"/>
      <c r="AE399" s="83"/>
      <c r="AF399" s="83"/>
      <c r="AG399" s="83"/>
      <c r="AH399" s="83"/>
      <c r="AI399" s="83"/>
      <c r="AJ399" s="83"/>
      <c r="AK399" s="83"/>
      <c r="AL399" s="83"/>
      <c r="AM399" s="83"/>
    </row>
    <row r="400" ht="13.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3"/>
      <c r="AH400" s="83"/>
      <c r="AI400" s="83"/>
      <c r="AJ400" s="83"/>
      <c r="AK400" s="83"/>
      <c r="AL400" s="83"/>
      <c r="AM400" s="83"/>
    </row>
    <row r="401" ht="13.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3"/>
      <c r="O401" s="83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  <c r="AB401" s="83"/>
      <c r="AC401" s="83"/>
      <c r="AD401" s="83"/>
      <c r="AE401" s="83"/>
      <c r="AF401" s="83"/>
      <c r="AG401" s="83"/>
      <c r="AH401" s="83"/>
      <c r="AI401" s="83"/>
      <c r="AJ401" s="83"/>
      <c r="AK401" s="83"/>
      <c r="AL401" s="83"/>
      <c r="AM401" s="83"/>
    </row>
    <row r="402" ht="13.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3"/>
      <c r="O402" s="83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  <c r="AB402" s="83"/>
      <c r="AC402" s="83"/>
      <c r="AD402" s="83"/>
      <c r="AE402" s="83"/>
      <c r="AF402" s="83"/>
      <c r="AG402" s="83"/>
      <c r="AH402" s="83"/>
      <c r="AI402" s="83"/>
      <c r="AJ402" s="83"/>
      <c r="AK402" s="83"/>
      <c r="AL402" s="83"/>
      <c r="AM402" s="83"/>
    </row>
    <row r="403" ht="13.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3"/>
      <c r="O403" s="83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  <c r="AB403" s="83"/>
      <c r="AC403" s="83"/>
      <c r="AD403" s="83"/>
      <c r="AE403" s="83"/>
      <c r="AF403" s="83"/>
      <c r="AG403" s="83"/>
      <c r="AH403" s="83"/>
      <c r="AI403" s="83"/>
      <c r="AJ403" s="83"/>
      <c r="AK403" s="83"/>
      <c r="AL403" s="83"/>
      <c r="AM403" s="83"/>
    </row>
    <row r="404" ht="13.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3"/>
      <c r="O404" s="83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  <c r="AB404" s="83"/>
      <c r="AC404" s="83"/>
      <c r="AD404" s="83"/>
      <c r="AE404" s="83"/>
      <c r="AF404" s="83"/>
      <c r="AG404" s="83"/>
      <c r="AH404" s="83"/>
      <c r="AI404" s="83"/>
      <c r="AJ404" s="83"/>
      <c r="AK404" s="83"/>
      <c r="AL404" s="83"/>
      <c r="AM404" s="83"/>
    </row>
    <row r="405" ht="13.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3"/>
      <c r="O405" s="83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  <c r="AB405" s="83"/>
      <c r="AC405" s="83"/>
      <c r="AD405" s="83"/>
      <c r="AE405" s="83"/>
      <c r="AF405" s="83"/>
      <c r="AG405" s="83"/>
      <c r="AH405" s="83"/>
      <c r="AI405" s="83"/>
      <c r="AJ405" s="83"/>
      <c r="AK405" s="83"/>
      <c r="AL405" s="83"/>
      <c r="AM405" s="83"/>
    </row>
    <row r="406" ht="13.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3"/>
      <c r="O406" s="83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  <c r="AB406" s="83"/>
      <c r="AC406" s="83"/>
      <c r="AD406" s="83"/>
      <c r="AE406" s="83"/>
      <c r="AF406" s="83"/>
      <c r="AG406" s="83"/>
      <c r="AH406" s="83"/>
      <c r="AI406" s="83"/>
      <c r="AJ406" s="83"/>
      <c r="AK406" s="83"/>
      <c r="AL406" s="83"/>
      <c r="AM406" s="83"/>
    </row>
    <row r="407" ht="13.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3"/>
      <c r="O407" s="83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  <c r="AB407" s="83"/>
      <c r="AC407" s="83"/>
      <c r="AD407" s="83"/>
      <c r="AE407" s="83"/>
      <c r="AF407" s="83"/>
      <c r="AG407" s="83"/>
      <c r="AH407" s="83"/>
      <c r="AI407" s="83"/>
      <c r="AJ407" s="83"/>
      <c r="AK407" s="83"/>
      <c r="AL407" s="83"/>
      <c r="AM407" s="83"/>
    </row>
    <row r="408" ht="13.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3"/>
      <c r="O408" s="83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  <c r="AB408" s="83"/>
      <c r="AC408" s="83"/>
      <c r="AD408" s="83"/>
      <c r="AE408" s="83"/>
      <c r="AF408" s="83"/>
      <c r="AG408" s="83"/>
      <c r="AH408" s="83"/>
      <c r="AI408" s="83"/>
      <c r="AJ408" s="83"/>
      <c r="AK408" s="83"/>
      <c r="AL408" s="83"/>
      <c r="AM408" s="83"/>
    </row>
    <row r="409" ht="13.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3"/>
      <c r="O409" s="83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  <c r="AB409" s="83"/>
      <c r="AC409" s="83"/>
      <c r="AD409" s="83"/>
      <c r="AE409" s="83"/>
      <c r="AF409" s="83"/>
      <c r="AG409" s="83"/>
      <c r="AH409" s="83"/>
      <c r="AI409" s="83"/>
      <c r="AJ409" s="83"/>
      <c r="AK409" s="83"/>
      <c r="AL409" s="83"/>
      <c r="AM409" s="83"/>
    </row>
    <row r="410" ht="13.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3"/>
      <c r="AH410" s="83"/>
      <c r="AI410" s="83"/>
      <c r="AJ410" s="83"/>
      <c r="AK410" s="83"/>
      <c r="AL410" s="83"/>
      <c r="AM410" s="83"/>
    </row>
    <row r="411" ht="13.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3"/>
      <c r="O411" s="83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  <c r="AB411" s="83"/>
      <c r="AC411" s="83"/>
      <c r="AD411" s="83"/>
      <c r="AE411" s="83"/>
      <c r="AF411" s="83"/>
      <c r="AG411" s="83"/>
      <c r="AH411" s="83"/>
      <c r="AI411" s="83"/>
      <c r="AJ411" s="83"/>
      <c r="AK411" s="83"/>
      <c r="AL411" s="83"/>
      <c r="AM411" s="83"/>
    </row>
    <row r="412" ht="13.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3"/>
      <c r="O412" s="83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  <c r="AB412" s="83"/>
      <c r="AC412" s="83"/>
      <c r="AD412" s="83"/>
      <c r="AE412" s="83"/>
      <c r="AF412" s="83"/>
      <c r="AG412" s="83"/>
      <c r="AH412" s="83"/>
      <c r="AI412" s="83"/>
      <c r="AJ412" s="83"/>
      <c r="AK412" s="83"/>
      <c r="AL412" s="83"/>
      <c r="AM412" s="83"/>
    </row>
    <row r="413" ht="13.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3"/>
      <c r="O413" s="83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  <c r="AB413" s="83"/>
      <c r="AC413" s="83"/>
      <c r="AD413" s="83"/>
      <c r="AE413" s="83"/>
      <c r="AF413" s="83"/>
      <c r="AG413" s="83"/>
      <c r="AH413" s="83"/>
      <c r="AI413" s="83"/>
      <c r="AJ413" s="83"/>
      <c r="AK413" s="83"/>
      <c r="AL413" s="83"/>
      <c r="AM413" s="83"/>
    </row>
    <row r="414" ht="13.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  <c r="AB414" s="83"/>
      <c r="AC414" s="83"/>
      <c r="AD414" s="83"/>
      <c r="AE414" s="83"/>
      <c r="AF414" s="83"/>
      <c r="AG414" s="83"/>
      <c r="AH414" s="83"/>
      <c r="AI414" s="83"/>
      <c r="AJ414" s="83"/>
      <c r="AK414" s="83"/>
      <c r="AL414" s="83"/>
      <c r="AM414" s="83"/>
    </row>
    <row r="415" ht="13.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3"/>
      <c r="O415" s="83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  <c r="AB415" s="83"/>
      <c r="AC415" s="83"/>
      <c r="AD415" s="83"/>
      <c r="AE415" s="83"/>
      <c r="AF415" s="83"/>
      <c r="AG415" s="83"/>
      <c r="AH415" s="83"/>
      <c r="AI415" s="83"/>
      <c r="AJ415" s="83"/>
      <c r="AK415" s="83"/>
      <c r="AL415" s="83"/>
      <c r="AM415" s="83"/>
    </row>
    <row r="416" ht="13.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3"/>
      <c r="O416" s="83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  <c r="AB416" s="83"/>
      <c r="AC416" s="83"/>
      <c r="AD416" s="83"/>
      <c r="AE416" s="83"/>
      <c r="AF416" s="83"/>
      <c r="AG416" s="83"/>
      <c r="AH416" s="83"/>
      <c r="AI416" s="83"/>
      <c r="AJ416" s="83"/>
      <c r="AK416" s="83"/>
      <c r="AL416" s="83"/>
      <c r="AM416" s="83"/>
    </row>
    <row r="417" ht="13.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3"/>
      <c r="O417" s="83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  <c r="AB417" s="83"/>
      <c r="AC417" s="83"/>
      <c r="AD417" s="83"/>
      <c r="AE417" s="83"/>
      <c r="AF417" s="83"/>
      <c r="AG417" s="83"/>
      <c r="AH417" s="83"/>
      <c r="AI417" s="83"/>
      <c r="AJ417" s="83"/>
      <c r="AK417" s="83"/>
      <c r="AL417" s="83"/>
      <c r="AM417" s="83"/>
    </row>
    <row r="418" ht="13.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3"/>
      <c r="O418" s="83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  <c r="AB418" s="83"/>
      <c r="AC418" s="83"/>
      <c r="AD418" s="83"/>
      <c r="AE418" s="83"/>
      <c r="AF418" s="83"/>
      <c r="AG418" s="83"/>
      <c r="AH418" s="83"/>
      <c r="AI418" s="83"/>
      <c r="AJ418" s="83"/>
      <c r="AK418" s="83"/>
      <c r="AL418" s="83"/>
      <c r="AM418" s="83"/>
    </row>
    <row r="419" ht="13.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3"/>
      <c r="O419" s="83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  <c r="AB419" s="83"/>
      <c r="AC419" s="83"/>
      <c r="AD419" s="83"/>
      <c r="AE419" s="83"/>
      <c r="AF419" s="83"/>
      <c r="AG419" s="83"/>
      <c r="AH419" s="83"/>
      <c r="AI419" s="83"/>
      <c r="AJ419" s="83"/>
      <c r="AK419" s="83"/>
      <c r="AL419" s="83"/>
      <c r="AM419" s="83"/>
    </row>
    <row r="420" ht="13.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3"/>
      <c r="AH420" s="83"/>
      <c r="AI420" s="83"/>
      <c r="AJ420" s="83"/>
      <c r="AK420" s="83"/>
      <c r="AL420" s="83"/>
      <c r="AM420" s="83"/>
    </row>
    <row r="421" ht="13.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3"/>
      <c r="O421" s="83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  <c r="AB421" s="83"/>
      <c r="AC421" s="83"/>
      <c r="AD421" s="83"/>
      <c r="AE421" s="83"/>
      <c r="AF421" s="83"/>
      <c r="AG421" s="83"/>
      <c r="AH421" s="83"/>
      <c r="AI421" s="83"/>
      <c r="AJ421" s="83"/>
      <c r="AK421" s="83"/>
      <c r="AL421" s="83"/>
      <c r="AM421" s="83"/>
    </row>
    <row r="422" ht="13.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3"/>
      <c r="O422" s="83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  <c r="AB422" s="83"/>
      <c r="AC422" s="83"/>
      <c r="AD422" s="83"/>
      <c r="AE422" s="83"/>
      <c r="AF422" s="83"/>
      <c r="AG422" s="83"/>
      <c r="AH422" s="83"/>
      <c r="AI422" s="83"/>
      <c r="AJ422" s="83"/>
      <c r="AK422" s="83"/>
      <c r="AL422" s="83"/>
      <c r="AM422" s="83"/>
    </row>
    <row r="423" ht="13.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3"/>
      <c r="O423" s="83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  <c r="AB423" s="83"/>
      <c r="AC423" s="83"/>
      <c r="AD423" s="83"/>
      <c r="AE423" s="83"/>
      <c r="AF423" s="83"/>
      <c r="AG423" s="83"/>
      <c r="AH423" s="83"/>
      <c r="AI423" s="83"/>
      <c r="AJ423" s="83"/>
      <c r="AK423" s="83"/>
      <c r="AL423" s="83"/>
      <c r="AM423" s="83"/>
    </row>
    <row r="424" ht="13.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3"/>
      <c r="O424" s="83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  <c r="AB424" s="83"/>
      <c r="AC424" s="83"/>
      <c r="AD424" s="83"/>
      <c r="AE424" s="83"/>
      <c r="AF424" s="83"/>
      <c r="AG424" s="83"/>
      <c r="AH424" s="83"/>
      <c r="AI424" s="83"/>
      <c r="AJ424" s="83"/>
      <c r="AK424" s="83"/>
      <c r="AL424" s="83"/>
      <c r="AM424" s="83"/>
    </row>
    <row r="425" ht="13.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3"/>
      <c r="O425" s="83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  <c r="AB425" s="83"/>
      <c r="AC425" s="83"/>
      <c r="AD425" s="83"/>
      <c r="AE425" s="83"/>
      <c r="AF425" s="83"/>
      <c r="AG425" s="83"/>
      <c r="AH425" s="83"/>
      <c r="AI425" s="83"/>
      <c r="AJ425" s="83"/>
      <c r="AK425" s="83"/>
      <c r="AL425" s="83"/>
      <c r="AM425" s="83"/>
    </row>
    <row r="426" ht="13.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3"/>
      <c r="O426" s="83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  <c r="AB426" s="83"/>
      <c r="AC426" s="83"/>
      <c r="AD426" s="83"/>
      <c r="AE426" s="83"/>
      <c r="AF426" s="83"/>
      <c r="AG426" s="83"/>
      <c r="AH426" s="83"/>
      <c r="AI426" s="83"/>
      <c r="AJ426" s="83"/>
      <c r="AK426" s="83"/>
      <c r="AL426" s="83"/>
      <c r="AM426" s="83"/>
    </row>
    <row r="427" ht="13.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3"/>
      <c r="O427" s="83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  <c r="AB427" s="83"/>
      <c r="AC427" s="83"/>
      <c r="AD427" s="83"/>
      <c r="AE427" s="83"/>
      <c r="AF427" s="83"/>
      <c r="AG427" s="83"/>
      <c r="AH427" s="83"/>
      <c r="AI427" s="83"/>
      <c r="AJ427" s="83"/>
      <c r="AK427" s="83"/>
      <c r="AL427" s="83"/>
      <c r="AM427" s="83"/>
    </row>
    <row r="428" ht="13.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3"/>
      <c r="O428" s="83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  <c r="AB428" s="83"/>
      <c r="AC428" s="83"/>
      <c r="AD428" s="83"/>
      <c r="AE428" s="83"/>
      <c r="AF428" s="83"/>
      <c r="AG428" s="83"/>
      <c r="AH428" s="83"/>
      <c r="AI428" s="83"/>
      <c r="AJ428" s="83"/>
      <c r="AK428" s="83"/>
      <c r="AL428" s="83"/>
      <c r="AM428" s="83"/>
    </row>
    <row r="429" ht="13.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3"/>
      <c r="O429" s="83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  <c r="AB429" s="83"/>
      <c r="AC429" s="83"/>
      <c r="AD429" s="83"/>
      <c r="AE429" s="83"/>
      <c r="AF429" s="83"/>
      <c r="AG429" s="83"/>
      <c r="AH429" s="83"/>
      <c r="AI429" s="83"/>
      <c r="AJ429" s="83"/>
      <c r="AK429" s="83"/>
      <c r="AL429" s="83"/>
      <c r="AM429" s="83"/>
    </row>
    <row r="430" ht="13.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3"/>
      <c r="O430" s="83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  <c r="AB430" s="83"/>
      <c r="AC430" s="83"/>
      <c r="AD430" s="83"/>
      <c r="AE430" s="83"/>
      <c r="AF430" s="83"/>
      <c r="AG430" s="83"/>
      <c r="AH430" s="83"/>
      <c r="AI430" s="83"/>
      <c r="AJ430" s="83"/>
      <c r="AK430" s="83"/>
      <c r="AL430" s="83"/>
      <c r="AM430" s="83"/>
    </row>
    <row r="431" ht="13.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  <c r="AB431" s="83"/>
      <c r="AC431" s="83"/>
      <c r="AD431" s="83"/>
      <c r="AE431" s="83"/>
      <c r="AF431" s="83"/>
      <c r="AG431" s="83"/>
      <c r="AH431" s="83"/>
      <c r="AI431" s="83"/>
      <c r="AJ431" s="83"/>
      <c r="AK431" s="83"/>
      <c r="AL431" s="83"/>
      <c r="AM431" s="83"/>
    </row>
    <row r="432" ht="13.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  <c r="AB432" s="83"/>
      <c r="AC432" s="83"/>
      <c r="AD432" s="83"/>
      <c r="AE432" s="83"/>
      <c r="AF432" s="83"/>
      <c r="AG432" s="83"/>
      <c r="AH432" s="83"/>
      <c r="AI432" s="83"/>
      <c r="AJ432" s="83"/>
      <c r="AK432" s="83"/>
      <c r="AL432" s="83"/>
      <c r="AM432" s="83"/>
    </row>
    <row r="433" ht="13.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3"/>
      <c r="AH433" s="83"/>
      <c r="AI433" s="83"/>
      <c r="AJ433" s="83"/>
      <c r="AK433" s="83"/>
      <c r="AL433" s="83"/>
      <c r="AM433" s="83"/>
    </row>
    <row r="434" ht="13.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  <c r="AB434" s="83"/>
      <c r="AC434" s="83"/>
      <c r="AD434" s="83"/>
      <c r="AE434" s="83"/>
      <c r="AF434" s="83"/>
      <c r="AG434" s="83"/>
      <c r="AH434" s="83"/>
      <c r="AI434" s="83"/>
      <c r="AJ434" s="83"/>
      <c r="AK434" s="83"/>
      <c r="AL434" s="83"/>
      <c r="AM434" s="83"/>
    </row>
    <row r="435" ht="13.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  <c r="AB435" s="83"/>
      <c r="AC435" s="83"/>
      <c r="AD435" s="83"/>
      <c r="AE435" s="83"/>
      <c r="AF435" s="83"/>
      <c r="AG435" s="83"/>
      <c r="AH435" s="83"/>
      <c r="AI435" s="83"/>
      <c r="AJ435" s="83"/>
      <c r="AK435" s="83"/>
      <c r="AL435" s="83"/>
      <c r="AM435" s="83"/>
    </row>
    <row r="436" ht="13.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  <c r="AB436" s="83"/>
      <c r="AC436" s="83"/>
      <c r="AD436" s="83"/>
      <c r="AE436" s="83"/>
      <c r="AF436" s="83"/>
      <c r="AG436" s="83"/>
      <c r="AH436" s="83"/>
      <c r="AI436" s="83"/>
      <c r="AJ436" s="83"/>
      <c r="AK436" s="83"/>
      <c r="AL436" s="83"/>
      <c r="AM436" s="83"/>
    </row>
    <row r="437" ht="13.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  <c r="AB437" s="83"/>
      <c r="AC437" s="83"/>
      <c r="AD437" s="83"/>
      <c r="AE437" s="83"/>
      <c r="AF437" s="83"/>
      <c r="AG437" s="83"/>
      <c r="AH437" s="83"/>
      <c r="AI437" s="83"/>
      <c r="AJ437" s="83"/>
      <c r="AK437" s="83"/>
      <c r="AL437" s="83"/>
      <c r="AM437" s="83"/>
    </row>
    <row r="438" ht="13.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  <c r="AB438" s="83"/>
      <c r="AC438" s="83"/>
      <c r="AD438" s="83"/>
      <c r="AE438" s="83"/>
      <c r="AF438" s="83"/>
      <c r="AG438" s="83"/>
      <c r="AH438" s="83"/>
      <c r="AI438" s="83"/>
      <c r="AJ438" s="83"/>
      <c r="AK438" s="83"/>
      <c r="AL438" s="83"/>
      <c r="AM438" s="83"/>
    </row>
    <row r="439" ht="13.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  <c r="AB439" s="83"/>
      <c r="AC439" s="83"/>
      <c r="AD439" s="83"/>
      <c r="AE439" s="83"/>
      <c r="AF439" s="83"/>
      <c r="AG439" s="83"/>
      <c r="AH439" s="83"/>
      <c r="AI439" s="83"/>
      <c r="AJ439" s="83"/>
      <c r="AK439" s="83"/>
      <c r="AL439" s="83"/>
      <c r="AM439" s="83"/>
    </row>
    <row r="440" ht="13.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  <c r="AB440" s="83"/>
      <c r="AC440" s="83"/>
      <c r="AD440" s="83"/>
      <c r="AE440" s="83"/>
      <c r="AF440" s="83"/>
      <c r="AG440" s="83"/>
      <c r="AH440" s="83"/>
      <c r="AI440" s="83"/>
      <c r="AJ440" s="83"/>
      <c r="AK440" s="83"/>
      <c r="AL440" s="83"/>
      <c r="AM440" s="83"/>
    </row>
    <row r="441" ht="13.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  <c r="AB441" s="83"/>
      <c r="AC441" s="83"/>
      <c r="AD441" s="83"/>
      <c r="AE441" s="83"/>
      <c r="AF441" s="83"/>
      <c r="AG441" s="83"/>
      <c r="AH441" s="83"/>
      <c r="AI441" s="83"/>
      <c r="AJ441" s="83"/>
      <c r="AK441" s="83"/>
      <c r="AL441" s="83"/>
      <c r="AM441" s="83"/>
    </row>
    <row r="442" ht="13.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  <c r="AB442" s="83"/>
      <c r="AC442" s="83"/>
      <c r="AD442" s="83"/>
      <c r="AE442" s="83"/>
      <c r="AF442" s="83"/>
      <c r="AG442" s="83"/>
      <c r="AH442" s="83"/>
      <c r="AI442" s="83"/>
      <c r="AJ442" s="83"/>
      <c r="AK442" s="83"/>
      <c r="AL442" s="83"/>
      <c r="AM442" s="83"/>
    </row>
    <row r="443" ht="13.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  <c r="AG443" s="83"/>
      <c r="AH443" s="83"/>
      <c r="AI443" s="83"/>
      <c r="AJ443" s="83"/>
      <c r="AK443" s="83"/>
      <c r="AL443" s="83"/>
      <c r="AM443" s="83"/>
    </row>
    <row r="444" ht="13.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  <c r="AB444" s="83"/>
      <c r="AC444" s="83"/>
      <c r="AD444" s="83"/>
      <c r="AE444" s="83"/>
      <c r="AF444" s="83"/>
      <c r="AG444" s="83"/>
      <c r="AH444" s="83"/>
      <c r="AI444" s="83"/>
      <c r="AJ444" s="83"/>
      <c r="AK444" s="83"/>
      <c r="AL444" s="83"/>
      <c r="AM444" s="83"/>
    </row>
    <row r="445" ht="13.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  <c r="AB445" s="83"/>
      <c r="AC445" s="83"/>
      <c r="AD445" s="83"/>
      <c r="AE445" s="83"/>
      <c r="AF445" s="83"/>
      <c r="AG445" s="83"/>
      <c r="AH445" s="83"/>
      <c r="AI445" s="83"/>
      <c r="AJ445" s="83"/>
      <c r="AK445" s="83"/>
      <c r="AL445" s="83"/>
      <c r="AM445" s="83"/>
    </row>
    <row r="446" ht="13.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  <c r="AB446" s="83"/>
      <c r="AC446" s="83"/>
      <c r="AD446" s="83"/>
      <c r="AE446" s="83"/>
      <c r="AF446" s="83"/>
      <c r="AG446" s="83"/>
      <c r="AH446" s="83"/>
      <c r="AI446" s="83"/>
      <c r="AJ446" s="83"/>
      <c r="AK446" s="83"/>
      <c r="AL446" s="83"/>
      <c r="AM446" s="83"/>
    </row>
    <row r="447" ht="13.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  <c r="AB447" s="83"/>
      <c r="AC447" s="83"/>
      <c r="AD447" s="83"/>
      <c r="AE447" s="83"/>
      <c r="AF447" s="83"/>
      <c r="AG447" s="83"/>
      <c r="AH447" s="83"/>
      <c r="AI447" s="83"/>
      <c r="AJ447" s="83"/>
      <c r="AK447" s="83"/>
      <c r="AL447" s="83"/>
      <c r="AM447" s="83"/>
    </row>
    <row r="448" ht="13.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  <c r="AB448" s="83"/>
      <c r="AC448" s="83"/>
      <c r="AD448" s="83"/>
      <c r="AE448" s="83"/>
      <c r="AF448" s="83"/>
      <c r="AG448" s="83"/>
      <c r="AH448" s="83"/>
      <c r="AI448" s="83"/>
      <c r="AJ448" s="83"/>
      <c r="AK448" s="83"/>
      <c r="AL448" s="83"/>
      <c r="AM448" s="83"/>
    </row>
    <row r="449" ht="13.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  <c r="AB449" s="83"/>
      <c r="AC449" s="83"/>
      <c r="AD449" s="83"/>
      <c r="AE449" s="83"/>
      <c r="AF449" s="83"/>
      <c r="AG449" s="83"/>
      <c r="AH449" s="83"/>
      <c r="AI449" s="83"/>
      <c r="AJ449" s="83"/>
      <c r="AK449" s="83"/>
      <c r="AL449" s="83"/>
      <c r="AM449" s="83"/>
    </row>
    <row r="450" ht="13.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  <c r="AB450" s="83"/>
      <c r="AC450" s="83"/>
      <c r="AD450" s="83"/>
      <c r="AE450" s="83"/>
      <c r="AF450" s="83"/>
      <c r="AG450" s="83"/>
      <c r="AH450" s="83"/>
      <c r="AI450" s="83"/>
      <c r="AJ450" s="83"/>
      <c r="AK450" s="83"/>
      <c r="AL450" s="83"/>
      <c r="AM450" s="83"/>
    </row>
    <row r="451" ht="13.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  <c r="AB451" s="83"/>
      <c r="AC451" s="83"/>
      <c r="AD451" s="83"/>
      <c r="AE451" s="83"/>
      <c r="AF451" s="83"/>
      <c r="AG451" s="83"/>
      <c r="AH451" s="83"/>
      <c r="AI451" s="83"/>
      <c r="AJ451" s="83"/>
      <c r="AK451" s="83"/>
      <c r="AL451" s="83"/>
      <c r="AM451" s="83"/>
    </row>
    <row r="452" ht="13.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  <c r="AB452" s="83"/>
      <c r="AC452" s="83"/>
      <c r="AD452" s="83"/>
      <c r="AE452" s="83"/>
      <c r="AF452" s="83"/>
      <c r="AG452" s="83"/>
      <c r="AH452" s="83"/>
      <c r="AI452" s="83"/>
      <c r="AJ452" s="83"/>
      <c r="AK452" s="83"/>
      <c r="AL452" s="83"/>
      <c r="AM452" s="83"/>
    </row>
    <row r="453" ht="13.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3"/>
      <c r="AH453" s="83"/>
      <c r="AI453" s="83"/>
      <c r="AJ453" s="83"/>
      <c r="AK453" s="83"/>
      <c r="AL453" s="83"/>
      <c r="AM453" s="83"/>
    </row>
    <row r="454" ht="13.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3"/>
      <c r="O454" s="83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  <c r="AB454" s="83"/>
      <c r="AC454" s="83"/>
      <c r="AD454" s="83"/>
      <c r="AE454" s="83"/>
      <c r="AF454" s="83"/>
      <c r="AG454" s="83"/>
      <c r="AH454" s="83"/>
      <c r="AI454" s="83"/>
      <c r="AJ454" s="83"/>
      <c r="AK454" s="83"/>
      <c r="AL454" s="83"/>
      <c r="AM454" s="83"/>
    </row>
    <row r="455" ht="13.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  <c r="AB455" s="83"/>
      <c r="AC455" s="83"/>
      <c r="AD455" s="83"/>
      <c r="AE455" s="83"/>
      <c r="AF455" s="83"/>
      <c r="AG455" s="83"/>
      <c r="AH455" s="83"/>
      <c r="AI455" s="83"/>
      <c r="AJ455" s="83"/>
      <c r="AK455" s="83"/>
      <c r="AL455" s="83"/>
      <c r="AM455" s="83"/>
    </row>
    <row r="456" ht="13.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  <c r="AB456" s="83"/>
      <c r="AC456" s="83"/>
      <c r="AD456" s="83"/>
      <c r="AE456" s="83"/>
      <c r="AF456" s="83"/>
      <c r="AG456" s="83"/>
      <c r="AH456" s="83"/>
      <c r="AI456" s="83"/>
      <c r="AJ456" s="83"/>
      <c r="AK456" s="83"/>
      <c r="AL456" s="83"/>
      <c r="AM456" s="83"/>
    </row>
    <row r="457" ht="13.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  <c r="AB457" s="83"/>
      <c r="AC457" s="83"/>
      <c r="AD457" s="83"/>
      <c r="AE457" s="83"/>
      <c r="AF457" s="83"/>
      <c r="AG457" s="83"/>
      <c r="AH457" s="83"/>
      <c r="AI457" s="83"/>
      <c r="AJ457" s="83"/>
      <c r="AK457" s="83"/>
      <c r="AL457" s="83"/>
      <c r="AM457" s="83"/>
    </row>
    <row r="458" ht="13.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  <c r="AB458" s="83"/>
      <c r="AC458" s="83"/>
      <c r="AD458" s="83"/>
      <c r="AE458" s="83"/>
      <c r="AF458" s="83"/>
      <c r="AG458" s="83"/>
      <c r="AH458" s="83"/>
      <c r="AI458" s="83"/>
      <c r="AJ458" s="83"/>
      <c r="AK458" s="83"/>
      <c r="AL458" s="83"/>
      <c r="AM458" s="83"/>
    </row>
    <row r="459" ht="13.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  <c r="AB459" s="83"/>
      <c r="AC459" s="83"/>
      <c r="AD459" s="83"/>
      <c r="AE459" s="83"/>
      <c r="AF459" s="83"/>
      <c r="AG459" s="83"/>
      <c r="AH459" s="83"/>
      <c r="AI459" s="83"/>
      <c r="AJ459" s="83"/>
      <c r="AK459" s="83"/>
      <c r="AL459" s="83"/>
      <c r="AM459" s="83"/>
    </row>
    <row r="460" ht="13.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  <c r="AB460" s="83"/>
      <c r="AC460" s="83"/>
      <c r="AD460" s="83"/>
      <c r="AE460" s="83"/>
      <c r="AF460" s="83"/>
      <c r="AG460" s="83"/>
      <c r="AH460" s="83"/>
      <c r="AI460" s="83"/>
      <c r="AJ460" s="83"/>
      <c r="AK460" s="83"/>
      <c r="AL460" s="83"/>
      <c r="AM460" s="83"/>
    </row>
    <row r="461" ht="13.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  <c r="AB461" s="83"/>
      <c r="AC461" s="83"/>
      <c r="AD461" s="83"/>
      <c r="AE461" s="83"/>
      <c r="AF461" s="83"/>
      <c r="AG461" s="83"/>
      <c r="AH461" s="83"/>
      <c r="AI461" s="83"/>
      <c r="AJ461" s="83"/>
      <c r="AK461" s="83"/>
      <c r="AL461" s="83"/>
      <c r="AM461" s="83"/>
    </row>
    <row r="462" ht="13.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  <c r="AB462" s="83"/>
      <c r="AC462" s="83"/>
      <c r="AD462" s="83"/>
      <c r="AE462" s="83"/>
      <c r="AF462" s="83"/>
      <c r="AG462" s="83"/>
      <c r="AH462" s="83"/>
      <c r="AI462" s="83"/>
      <c r="AJ462" s="83"/>
      <c r="AK462" s="83"/>
      <c r="AL462" s="83"/>
      <c r="AM462" s="83"/>
    </row>
    <row r="463" ht="13.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3"/>
      <c r="AH463" s="83"/>
      <c r="AI463" s="83"/>
      <c r="AJ463" s="83"/>
      <c r="AK463" s="83"/>
      <c r="AL463" s="83"/>
      <c r="AM463" s="83"/>
    </row>
    <row r="464" ht="13.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  <c r="AB464" s="83"/>
      <c r="AC464" s="83"/>
      <c r="AD464" s="83"/>
      <c r="AE464" s="83"/>
      <c r="AF464" s="83"/>
      <c r="AG464" s="83"/>
      <c r="AH464" s="83"/>
      <c r="AI464" s="83"/>
      <c r="AJ464" s="83"/>
      <c r="AK464" s="83"/>
      <c r="AL464" s="83"/>
      <c r="AM464" s="83"/>
    </row>
    <row r="465" ht="13.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  <c r="AB465" s="83"/>
      <c r="AC465" s="83"/>
      <c r="AD465" s="83"/>
      <c r="AE465" s="83"/>
      <c r="AF465" s="83"/>
      <c r="AG465" s="83"/>
      <c r="AH465" s="83"/>
      <c r="AI465" s="83"/>
      <c r="AJ465" s="83"/>
      <c r="AK465" s="83"/>
      <c r="AL465" s="83"/>
      <c r="AM465" s="83"/>
    </row>
    <row r="466" ht="13.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  <c r="AB466" s="83"/>
      <c r="AC466" s="83"/>
      <c r="AD466" s="83"/>
      <c r="AE466" s="83"/>
      <c r="AF466" s="83"/>
      <c r="AG466" s="83"/>
      <c r="AH466" s="83"/>
      <c r="AI466" s="83"/>
      <c r="AJ466" s="83"/>
      <c r="AK466" s="83"/>
      <c r="AL466" s="83"/>
      <c r="AM466" s="83"/>
    </row>
    <row r="467" ht="13.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  <c r="AB467" s="83"/>
      <c r="AC467" s="83"/>
      <c r="AD467" s="83"/>
      <c r="AE467" s="83"/>
      <c r="AF467" s="83"/>
      <c r="AG467" s="83"/>
      <c r="AH467" s="83"/>
      <c r="AI467" s="83"/>
      <c r="AJ467" s="83"/>
      <c r="AK467" s="83"/>
      <c r="AL467" s="83"/>
      <c r="AM467" s="83"/>
    </row>
    <row r="468" ht="13.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  <c r="AB468" s="83"/>
      <c r="AC468" s="83"/>
      <c r="AD468" s="83"/>
      <c r="AE468" s="83"/>
      <c r="AF468" s="83"/>
      <c r="AG468" s="83"/>
      <c r="AH468" s="83"/>
      <c r="AI468" s="83"/>
      <c r="AJ468" s="83"/>
      <c r="AK468" s="83"/>
      <c r="AL468" s="83"/>
      <c r="AM468" s="83"/>
    </row>
    <row r="469" ht="13.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  <c r="AB469" s="83"/>
      <c r="AC469" s="83"/>
      <c r="AD469" s="83"/>
      <c r="AE469" s="83"/>
      <c r="AF469" s="83"/>
      <c r="AG469" s="83"/>
      <c r="AH469" s="83"/>
      <c r="AI469" s="83"/>
      <c r="AJ469" s="83"/>
      <c r="AK469" s="83"/>
      <c r="AL469" s="83"/>
      <c r="AM469" s="83"/>
    </row>
    <row r="470" ht="13.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  <c r="AB470" s="83"/>
      <c r="AC470" s="83"/>
      <c r="AD470" s="83"/>
      <c r="AE470" s="83"/>
      <c r="AF470" s="83"/>
      <c r="AG470" s="83"/>
      <c r="AH470" s="83"/>
      <c r="AI470" s="83"/>
      <c r="AJ470" s="83"/>
      <c r="AK470" s="83"/>
      <c r="AL470" s="83"/>
      <c r="AM470" s="83"/>
    </row>
    <row r="471" ht="13.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  <c r="AB471" s="83"/>
      <c r="AC471" s="83"/>
      <c r="AD471" s="83"/>
      <c r="AE471" s="83"/>
      <c r="AF471" s="83"/>
      <c r="AG471" s="83"/>
      <c r="AH471" s="83"/>
      <c r="AI471" s="83"/>
      <c r="AJ471" s="83"/>
      <c r="AK471" s="83"/>
      <c r="AL471" s="83"/>
      <c r="AM471" s="83"/>
    </row>
    <row r="472" ht="13.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  <c r="AB472" s="83"/>
      <c r="AC472" s="83"/>
      <c r="AD472" s="83"/>
      <c r="AE472" s="83"/>
      <c r="AF472" s="83"/>
      <c r="AG472" s="83"/>
      <c r="AH472" s="83"/>
      <c r="AI472" s="83"/>
      <c r="AJ472" s="83"/>
      <c r="AK472" s="83"/>
      <c r="AL472" s="83"/>
      <c r="AM472" s="83"/>
    </row>
    <row r="473" ht="13.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  <c r="AB473" s="83"/>
      <c r="AC473" s="83"/>
      <c r="AD473" s="83"/>
      <c r="AE473" s="83"/>
      <c r="AF473" s="83"/>
      <c r="AG473" s="83"/>
      <c r="AH473" s="83"/>
      <c r="AI473" s="83"/>
      <c r="AJ473" s="83"/>
      <c r="AK473" s="83"/>
      <c r="AL473" s="83"/>
      <c r="AM473" s="83"/>
    </row>
    <row r="474" ht="13.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  <c r="AB474" s="83"/>
      <c r="AC474" s="83"/>
      <c r="AD474" s="83"/>
      <c r="AE474" s="83"/>
      <c r="AF474" s="83"/>
      <c r="AG474" s="83"/>
      <c r="AH474" s="83"/>
      <c r="AI474" s="83"/>
      <c r="AJ474" s="83"/>
      <c r="AK474" s="83"/>
      <c r="AL474" s="83"/>
      <c r="AM474" s="83"/>
    </row>
    <row r="475" ht="13.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  <c r="AB475" s="83"/>
      <c r="AC475" s="83"/>
      <c r="AD475" s="83"/>
      <c r="AE475" s="83"/>
      <c r="AF475" s="83"/>
      <c r="AG475" s="83"/>
      <c r="AH475" s="83"/>
      <c r="AI475" s="83"/>
      <c r="AJ475" s="83"/>
      <c r="AK475" s="83"/>
      <c r="AL475" s="83"/>
      <c r="AM475" s="83"/>
    </row>
    <row r="476" ht="13.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  <c r="AB476" s="83"/>
      <c r="AC476" s="83"/>
      <c r="AD476" s="83"/>
      <c r="AE476" s="83"/>
      <c r="AF476" s="83"/>
      <c r="AG476" s="83"/>
      <c r="AH476" s="83"/>
      <c r="AI476" s="83"/>
      <c r="AJ476" s="83"/>
      <c r="AK476" s="83"/>
      <c r="AL476" s="83"/>
      <c r="AM476" s="83"/>
    </row>
    <row r="477" ht="13.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  <c r="AB477" s="83"/>
      <c r="AC477" s="83"/>
      <c r="AD477" s="83"/>
      <c r="AE477" s="83"/>
      <c r="AF477" s="83"/>
      <c r="AG477" s="83"/>
      <c r="AH477" s="83"/>
      <c r="AI477" s="83"/>
      <c r="AJ477" s="83"/>
      <c r="AK477" s="83"/>
      <c r="AL477" s="83"/>
      <c r="AM477" s="83"/>
    </row>
    <row r="478" ht="13.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3"/>
      <c r="O478" s="83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  <c r="AB478" s="83"/>
      <c r="AC478" s="83"/>
      <c r="AD478" s="83"/>
      <c r="AE478" s="83"/>
      <c r="AF478" s="83"/>
      <c r="AG478" s="83"/>
      <c r="AH478" s="83"/>
      <c r="AI478" s="83"/>
      <c r="AJ478" s="83"/>
      <c r="AK478" s="83"/>
      <c r="AL478" s="83"/>
      <c r="AM478" s="83"/>
    </row>
    <row r="479" ht="13.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3"/>
      <c r="AH479" s="83"/>
      <c r="AI479" s="83"/>
      <c r="AJ479" s="83"/>
      <c r="AK479" s="83"/>
      <c r="AL479" s="83"/>
      <c r="AM479" s="83"/>
    </row>
    <row r="480" ht="13.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3"/>
      <c r="O480" s="83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  <c r="AB480" s="83"/>
      <c r="AC480" s="83"/>
      <c r="AD480" s="83"/>
      <c r="AE480" s="83"/>
      <c r="AF480" s="83"/>
      <c r="AG480" s="83"/>
      <c r="AH480" s="83"/>
      <c r="AI480" s="83"/>
      <c r="AJ480" s="83"/>
      <c r="AK480" s="83"/>
      <c r="AL480" s="83"/>
      <c r="AM480" s="83"/>
    </row>
    <row r="481" ht="13.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3"/>
      <c r="O481" s="83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  <c r="AB481" s="83"/>
      <c r="AC481" s="83"/>
      <c r="AD481" s="83"/>
      <c r="AE481" s="83"/>
      <c r="AF481" s="83"/>
      <c r="AG481" s="83"/>
      <c r="AH481" s="83"/>
      <c r="AI481" s="83"/>
      <c r="AJ481" s="83"/>
      <c r="AK481" s="83"/>
      <c r="AL481" s="83"/>
      <c r="AM481" s="83"/>
    </row>
    <row r="482" ht="13.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  <c r="AB482" s="83"/>
      <c r="AC482" s="83"/>
      <c r="AD482" s="83"/>
      <c r="AE482" s="83"/>
      <c r="AF482" s="83"/>
      <c r="AG482" s="83"/>
      <c r="AH482" s="83"/>
      <c r="AI482" s="83"/>
      <c r="AJ482" s="83"/>
      <c r="AK482" s="83"/>
      <c r="AL482" s="83"/>
      <c r="AM482" s="83"/>
    </row>
    <row r="483" ht="13.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3"/>
      <c r="O483" s="83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  <c r="AB483" s="83"/>
      <c r="AC483" s="83"/>
      <c r="AD483" s="83"/>
      <c r="AE483" s="83"/>
      <c r="AF483" s="83"/>
      <c r="AG483" s="83"/>
      <c r="AH483" s="83"/>
      <c r="AI483" s="83"/>
      <c r="AJ483" s="83"/>
      <c r="AK483" s="83"/>
      <c r="AL483" s="83"/>
      <c r="AM483" s="83"/>
    </row>
    <row r="484" ht="13.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3"/>
      <c r="O484" s="83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  <c r="AB484" s="83"/>
      <c r="AC484" s="83"/>
      <c r="AD484" s="83"/>
      <c r="AE484" s="83"/>
      <c r="AF484" s="83"/>
      <c r="AG484" s="83"/>
      <c r="AH484" s="83"/>
      <c r="AI484" s="83"/>
      <c r="AJ484" s="83"/>
      <c r="AK484" s="83"/>
      <c r="AL484" s="83"/>
      <c r="AM484" s="83"/>
    </row>
    <row r="485" ht="13.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  <c r="AB485" s="83"/>
      <c r="AC485" s="83"/>
      <c r="AD485" s="83"/>
      <c r="AE485" s="83"/>
      <c r="AF485" s="83"/>
      <c r="AG485" s="83"/>
      <c r="AH485" s="83"/>
      <c r="AI485" s="83"/>
      <c r="AJ485" s="83"/>
      <c r="AK485" s="83"/>
      <c r="AL485" s="83"/>
      <c r="AM485" s="83"/>
    </row>
    <row r="486" ht="13.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  <c r="AB486" s="83"/>
      <c r="AC486" s="83"/>
      <c r="AD486" s="83"/>
      <c r="AE486" s="83"/>
      <c r="AF486" s="83"/>
      <c r="AG486" s="83"/>
      <c r="AH486" s="83"/>
      <c r="AI486" s="83"/>
      <c r="AJ486" s="83"/>
      <c r="AK486" s="83"/>
      <c r="AL486" s="83"/>
      <c r="AM486" s="83"/>
    </row>
    <row r="487" ht="13.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  <c r="AB487" s="83"/>
      <c r="AC487" s="83"/>
      <c r="AD487" s="83"/>
      <c r="AE487" s="83"/>
      <c r="AF487" s="83"/>
      <c r="AG487" s="83"/>
      <c r="AH487" s="83"/>
      <c r="AI487" s="83"/>
      <c r="AJ487" s="83"/>
      <c r="AK487" s="83"/>
      <c r="AL487" s="83"/>
      <c r="AM487" s="83"/>
    </row>
    <row r="488" ht="13.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  <c r="AB488" s="83"/>
      <c r="AC488" s="83"/>
      <c r="AD488" s="83"/>
      <c r="AE488" s="83"/>
      <c r="AF488" s="83"/>
      <c r="AG488" s="83"/>
      <c r="AH488" s="83"/>
      <c r="AI488" s="83"/>
      <c r="AJ488" s="83"/>
      <c r="AK488" s="83"/>
      <c r="AL488" s="83"/>
      <c r="AM488" s="83"/>
    </row>
    <row r="489" ht="13.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3"/>
      <c r="AH489" s="83"/>
      <c r="AI489" s="83"/>
      <c r="AJ489" s="83"/>
      <c r="AK489" s="83"/>
      <c r="AL489" s="83"/>
      <c r="AM489" s="83"/>
    </row>
    <row r="490" ht="13.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  <c r="AB490" s="83"/>
      <c r="AC490" s="83"/>
      <c r="AD490" s="83"/>
      <c r="AE490" s="83"/>
      <c r="AF490" s="83"/>
      <c r="AG490" s="83"/>
      <c r="AH490" s="83"/>
      <c r="AI490" s="83"/>
      <c r="AJ490" s="83"/>
      <c r="AK490" s="83"/>
      <c r="AL490" s="83"/>
      <c r="AM490" s="83"/>
    </row>
    <row r="491" ht="13.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  <c r="AB491" s="83"/>
      <c r="AC491" s="83"/>
      <c r="AD491" s="83"/>
      <c r="AE491" s="83"/>
      <c r="AF491" s="83"/>
      <c r="AG491" s="83"/>
      <c r="AH491" s="83"/>
      <c r="AI491" s="83"/>
      <c r="AJ491" s="83"/>
      <c r="AK491" s="83"/>
      <c r="AL491" s="83"/>
      <c r="AM491" s="83"/>
    </row>
    <row r="492" ht="13.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  <c r="AB492" s="83"/>
      <c r="AC492" s="83"/>
      <c r="AD492" s="83"/>
      <c r="AE492" s="83"/>
      <c r="AF492" s="83"/>
      <c r="AG492" s="83"/>
      <c r="AH492" s="83"/>
      <c r="AI492" s="83"/>
      <c r="AJ492" s="83"/>
      <c r="AK492" s="83"/>
      <c r="AL492" s="83"/>
      <c r="AM492" s="83"/>
    </row>
    <row r="493" ht="13.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3"/>
      <c r="AF493" s="83"/>
      <c r="AG493" s="83"/>
      <c r="AH493" s="83"/>
      <c r="AI493" s="83"/>
      <c r="AJ493" s="83"/>
      <c r="AK493" s="83"/>
      <c r="AL493" s="83"/>
      <c r="AM493" s="83"/>
    </row>
    <row r="494" ht="13.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  <c r="AB494" s="83"/>
      <c r="AC494" s="83"/>
      <c r="AD494" s="83"/>
      <c r="AE494" s="83"/>
      <c r="AF494" s="83"/>
      <c r="AG494" s="83"/>
      <c r="AH494" s="83"/>
      <c r="AI494" s="83"/>
      <c r="AJ494" s="83"/>
      <c r="AK494" s="83"/>
      <c r="AL494" s="83"/>
      <c r="AM494" s="83"/>
    </row>
    <row r="495" ht="13.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  <c r="AB495" s="83"/>
      <c r="AC495" s="83"/>
      <c r="AD495" s="83"/>
      <c r="AE495" s="83"/>
      <c r="AF495" s="83"/>
      <c r="AG495" s="83"/>
      <c r="AH495" s="83"/>
      <c r="AI495" s="83"/>
      <c r="AJ495" s="83"/>
      <c r="AK495" s="83"/>
      <c r="AL495" s="83"/>
      <c r="AM495" s="83"/>
    </row>
    <row r="496" ht="13.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3"/>
      <c r="AH496" s="83"/>
      <c r="AI496" s="83"/>
      <c r="AJ496" s="83"/>
      <c r="AK496" s="83"/>
      <c r="AL496" s="83"/>
      <c r="AM496" s="83"/>
    </row>
    <row r="497" ht="13.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  <c r="AB497" s="83"/>
      <c r="AC497" s="83"/>
      <c r="AD497" s="83"/>
      <c r="AE497" s="83"/>
      <c r="AF497" s="83"/>
      <c r="AG497" s="83"/>
      <c r="AH497" s="83"/>
      <c r="AI497" s="83"/>
      <c r="AJ497" s="83"/>
      <c r="AK497" s="83"/>
      <c r="AL497" s="83"/>
      <c r="AM497" s="83"/>
    </row>
    <row r="498" ht="13.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  <c r="AB498" s="83"/>
      <c r="AC498" s="83"/>
      <c r="AD498" s="83"/>
      <c r="AE498" s="83"/>
      <c r="AF498" s="83"/>
      <c r="AG498" s="83"/>
      <c r="AH498" s="83"/>
      <c r="AI498" s="83"/>
      <c r="AJ498" s="83"/>
      <c r="AK498" s="83"/>
      <c r="AL498" s="83"/>
      <c r="AM498" s="83"/>
    </row>
    <row r="499" ht="13.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  <c r="AB499" s="83"/>
      <c r="AC499" s="83"/>
      <c r="AD499" s="83"/>
      <c r="AE499" s="83"/>
      <c r="AF499" s="83"/>
      <c r="AG499" s="83"/>
      <c r="AH499" s="83"/>
      <c r="AI499" s="83"/>
      <c r="AJ499" s="83"/>
      <c r="AK499" s="83"/>
      <c r="AL499" s="83"/>
      <c r="AM499" s="83"/>
    </row>
    <row r="500" ht="13.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  <c r="AB500" s="83"/>
      <c r="AC500" s="83"/>
      <c r="AD500" s="83"/>
      <c r="AE500" s="83"/>
      <c r="AF500" s="83"/>
      <c r="AG500" s="83"/>
      <c r="AH500" s="83"/>
      <c r="AI500" s="83"/>
      <c r="AJ500" s="83"/>
      <c r="AK500" s="83"/>
      <c r="AL500" s="83"/>
      <c r="AM500" s="83"/>
    </row>
    <row r="501" ht="13.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  <c r="AB501" s="83"/>
      <c r="AC501" s="83"/>
      <c r="AD501" s="83"/>
      <c r="AE501" s="83"/>
      <c r="AF501" s="83"/>
      <c r="AG501" s="83"/>
      <c r="AH501" s="83"/>
      <c r="AI501" s="83"/>
      <c r="AJ501" s="83"/>
      <c r="AK501" s="83"/>
      <c r="AL501" s="83"/>
      <c r="AM501" s="83"/>
    </row>
    <row r="502" ht="13.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3"/>
      <c r="O502" s="83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  <c r="AB502" s="83"/>
      <c r="AC502" s="83"/>
      <c r="AD502" s="83"/>
      <c r="AE502" s="83"/>
      <c r="AF502" s="83"/>
      <c r="AG502" s="83"/>
      <c r="AH502" s="83"/>
      <c r="AI502" s="83"/>
      <c r="AJ502" s="83"/>
      <c r="AK502" s="83"/>
      <c r="AL502" s="83"/>
      <c r="AM502" s="83"/>
    </row>
    <row r="503" ht="13.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3"/>
      <c r="O503" s="83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  <c r="AB503" s="83"/>
      <c r="AC503" s="83"/>
      <c r="AD503" s="83"/>
      <c r="AE503" s="83"/>
      <c r="AF503" s="83"/>
      <c r="AG503" s="83"/>
      <c r="AH503" s="83"/>
      <c r="AI503" s="83"/>
      <c r="AJ503" s="83"/>
      <c r="AK503" s="83"/>
      <c r="AL503" s="83"/>
      <c r="AM503" s="83"/>
    </row>
    <row r="504" ht="13.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3"/>
      <c r="O504" s="83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  <c r="AB504" s="83"/>
      <c r="AC504" s="83"/>
      <c r="AD504" s="83"/>
      <c r="AE504" s="83"/>
      <c r="AF504" s="83"/>
      <c r="AG504" s="83"/>
      <c r="AH504" s="83"/>
      <c r="AI504" s="83"/>
      <c r="AJ504" s="83"/>
      <c r="AK504" s="83"/>
      <c r="AL504" s="83"/>
      <c r="AM504" s="83"/>
    </row>
    <row r="505" ht="13.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3"/>
      <c r="O505" s="83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  <c r="AB505" s="83"/>
      <c r="AC505" s="83"/>
      <c r="AD505" s="83"/>
      <c r="AE505" s="83"/>
      <c r="AF505" s="83"/>
      <c r="AG505" s="83"/>
      <c r="AH505" s="83"/>
      <c r="AI505" s="83"/>
      <c r="AJ505" s="83"/>
      <c r="AK505" s="83"/>
      <c r="AL505" s="83"/>
      <c r="AM505" s="83"/>
    </row>
    <row r="506" ht="13.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3"/>
      <c r="O506" s="83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  <c r="AB506" s="83"/>
      <c r="AC506" s="83"/>
      <c r="AD506" s="83"/>
      <c r="AE506" s="83"/>
      <c r="AF506" s="83"/>
      <c r="AG506" s="83"/>
      <c r="AH506" s="83"/>
      <c r="AI506" s="83"/>
      <c r="AJ506" s="83"/>
      <c r="AK506" s="83"/>
      <c r="AL506" s="83"/>
      <c r="AM506" s="83"/>
    </row>
    <row r="507" ht="13.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3"/>
      <c r="O507" s="83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  <c r="AB507" s="83"/>
      <c r="AC507" s="83"/>
      <c r="AD507" s="83"/>
      <c r="AE507" s="83"/>
      <c r="AF507" s="83"/>
      <c r="AG507" s="83"/>
      <c r="AH507" s="83"/>
      <c r="AI507" s="83"/>
      <c r="AJ507" s="83"/>
      <c r="AK507" s="83"/>
      <c r="AL507" s="83"/>
      <c r="AM507" s="83"/>
    </row>
    <row r="508" ht="13.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3"/>
      <c r="O508" s="83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  <c r="AB508" s="83"/>
      <c r="AC508" s="83"/>
      <c r="AD508" s="83"/>
      <c r="AE508" s="83"/>
      <c r="AF508" s="83"/>
      <c r="AG508" s="83"/>
      <c r="AH508" s="83"/>
      <c r="AI508" s="83"/>
      <c r="AJ508" s="83"/>
      <c r="AK508" s="83"/>
      <c r="AL508" s="83"/>
      <c r="AM508" s="83"/>
    </row>
    <row r="509" ht="13.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3"/>
      <c r="O509" s="83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  <c r="AB509" s="83"/>
      <c r="AC509" s="83"/>
      <c r="AD509" s="83"/>
      <c r="AE509" s="83"/>
      <c r="AF509" s="83"/>
      <c r="AG509" s="83"/>
      <c r="AH509" s="83"/>
      <c r="AI509" s="83"/>
      <c r="AJ509" s="83"/>
      <c r="AK509" s="83"/>
      <c r="AL509" s="83"/>
      <c r="AM509" s="83"/>
    </row>
    <row r="510" ht="13.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3"/>
      <c r="O510" s="83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  <c r="AB510" s="83"/>
      <c r="AC510" s="83"/>
      <c r="AD510" s="83"/>
      <c r="AE510" s="83"/>
      <c r="AF510" s="83"/>
      <c r="AG510" s="83"/>
      <c r="AH510" s="83"/>
      <c r="AI510" s="83"/>
      <c r="AJ510" s="83"/>
      <c r="AK510" s="83"/>
      <c r="AL510" s="83"/>
      <c r="AM510" s="83"/>
    </row>
    <row r="511" ht="13.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3"/>
      <c r="O511" s="83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  <c r="AB511" s="83"/>
      <c r="AC511" s="83"/>
      <c r="AD511" s="83"/>
      <c r="AE511" s="83"/>
      <c r="AF511" s="83"/>
      <c r="AG511" s="83"/>
      <c r="AH511" s="83"/>
      <c r="AI511" s="83"/>
      <c r="AJ511" s="83"/>
      <c r="AK511" s="83"/>
      <c r="AL511" s="83"/>
      <c r="AM511" s="83"/>
    </row>
    <row r="512" ht="13.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3"/>
      <c r="O512" s="83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  <c r="AB512" s="83"/>
      <c r="AC512" s="83"/>
      <c r="AD512" s="83"/>
      <c r="AE512" s="83"/>
      <c r="AF512" s="83"/>
      <c r="AG512" s="83"/>
      <c r="AH512" s="83"/>
      <c r="AI512" s="83"/>
      <c r="AJ512" s="83"/>
      <c r="AK512" s="83"/>
      <c r="AL512" s="83"/>
      <c r="AM512" s="83"/>
    </row>
    <row r="513" ht="13.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3"/>
      <c r="O513" s="83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  <c r="AB513" s="83"/>
      <c r="AC513" s="83"/>
      <c r="AD513" s="83"/>
      <c r="AE513" s="83"/>
      <c r="AF513" s="83"/>
      <c r="AG513" s="83"/>
      <c r="AH513" s="83"/>
      <c r="AI513" s="83"/>
      <c r="AJ513" s="83"/>
      <c r="AK513" s="83"/>
      <c r="AL513" s="83"/>
      <c r="AM513" s="83"/>
    </row>
    <row r="514" ht="13.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3"/>
      <c r="O514" s="83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  <c r="AB514" s="83"/>
      <c r="AC514" s="83"/>
      <c r="AD514" s="83"/>
      <c r="AE514" s="83"/>
      <c r="AF514" s="83"/>
      <c r="AG514" s="83"/>
      <c r="AH514" s="83"/>
      <c r="AI514" s="83"/>
      <c r="AJ514" s="83"/>
      <c r="AK514" s="83"/>
      <c r="AL514" s="83"/>
      <c r="AM514" s="83"/>
    </row>
    <row r="515" ht="13.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3"/>
      <c r="O515" s="83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  <c r="AB515" s="83"/>
      <c r="AC515" s="83"/>
      <c r="AD515" s="83"/>
      <c r="AE515" s="83"/>
      <c r="AF515" s="83"/>
      <c r="AG515" s="83"/>
      <c r="AH515" s="83"/>
      <c r="AI515" s="83"/>
      <c r="AJ515" s="83"/>
      <c r="AK515" s="83"/>
      <c r="AL515" s="83"/>
      <c r="AM515" s="83"/>
    </row>
    <row r="516" ht="13.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3"/>
      <c r="O516" s="83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  <c r="AB516" s="83"/>
      <c r="AC516" s="83"/>
      <c r="AD516" s="83"/>
      <c r="AE516" s="83"/>
      <c r="AF516" s="83"/>
      <c r="AG516" s="83"/>
      <c r="AH516" s="83"/>
      <c r="AI516" s="83"/>
      <c r="AJ516" s="83"/>
      <c r="AK516" s="83"/>
      <c r="AL516" s="83"/>
      <c r="AM516" s="83"/>
    </row>
    <row r="517" ht="13.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  <c r="AB517" s="83"/>
      <c r="AC517" s="83"/>
      <c r="AD517" s="83"/>
      <c r="AE517" s="83"/>
      <c r="AF517" s="83"/>
      <c r="AG517" s="83"/>
      <c r="AH517" s="83"/>
      <c r="AI517" s="83"/>
      <c r="AJ517" s="83"/>
      <c r="AK517" s="83"/>
      <c r="AL517" s="83"/>
      <c r="AM517" s="83"/>
    </row>
    <row r="518" ht="13.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3"/>
      <c r="O518" s="83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  <c r="AB518" s="83"/>
      <c r="AC518" s="83"/>
      <c r="AD518" s="83"/>
      <c r="AE518" s="83"/>
      <c r="AF518" s="83"/>
      <c r="AG518" s="83"/>
      <c r="AH518" s="83"/>
      <c r="AI518" s="83"/>
      <c r="AJ518" s="83"/>
      <c r="AK518" s="83"/>
      <c r="AL518" s="83"/>
      <c r="AM518" s="83"/>
    </row>
    <row r="519" ht="13.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3"/>
      <c r="O519" s="83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  <c r="AB519" s="83"/>
      <c r="AC519" s="83"/>
      <c r="AD519" s="83"/>
      <c r="AE519" s="83"/>
      <c r="AF519" s="83"/>
      <c r="AG519" s="83"/>
      <c r="AH519" s="83"/>
      <c r="AI519" s="83"/>
      <c r="AJ519" s="83"/>
      <c r="AK519" s="83"/>
      <c r="AL519" s="83"/>
      <c r="AM519" s="83"/>
    </row>
    <row r="520" ht="13.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3"/>
      <c r="O520" s="83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  <c r="AB520" s="83"/>
      <c r="AC520" s="83"/>
      <c r="AD520" s="83"/>
      <c r="AE520" s="83"/>
      <c r="AF520" s="83"/>
      <c r="AG520" s="83"/>
      <c r="AH520" s="83"/>
      <c r="AI520" s="83"/>
      <c r="AJ520" s="83"/>
      <c r="AK520" s="83"/>
      <c r="AL520" s="83"/>
      <c r="AM520" s="83"/>
    </row>
    <row r="521" ht="13.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3"/>
      <c r="O521" s="83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  <c r="AB521" s="83"/>
      <c r="AC521" s="83"/>
      <c r="AD521" s="83"/>
      <c r="AE521" s="83"/>
      <c r="AF521" s="83"/>
      <c r="AG521" s="83"/>
      <c r="AH521" s="83"/>
      <c r="AI521" s="83"/>
      <c r="AJ521" s="83"/>
      <c r="AK521" s="83"/>
      <c r="AL521" s="83"/>
      <c r="AM521" s="83"/>
    </row>
    <row r="522" ht="13.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3"/>
      <c r="O522" s="83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  <c r="AB522" s="83"/>
      <c r="AC522" s="83"/>
      <c r="AD522" s="83"/>
      <c r="AE522" s="83"/>
      <c r="AF522" s="83"/>
      <c r="AG522" s="83"/>
      <c r="AH522" s="83"/>
      <c r="AI522" s="83"/>
      <c r="AJ522" s="83"/>
      <c r="AK522" s="83"/>
      <c r="AL522" s="83"/>
      <c r="AM522" s="83"/>
    </row>
    <row r="523" ht="13.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3"/>
      <c r="O523" s="83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  <c r="AB523" s="83"/>
      <c r="AC523" s="83"/>
      <c r="AD523" s="83"/>
      <c r="AE523" s="83"/>
      <c r="AF523" s="83"/>
      <c r="AG523" s="83"/>
      <c r="AH523" s="83"/>
      <c r="AI523" s="83"/>
      <c r="AJ523" s="83"/>
      <c r="AK523" s="83"/>
      <c r="AL523" s="83"/>
      <c r="AM523" s="83"/>
    </row>
    <row r="524" ht="13.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3"/>
      <c r="O524" s="83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  <c r="AB524" s="83"/>
      <c r="AC524" s="83"/>
      <c r="AD524" s="83"/>
      <c r="AE524" s="83"/>
      <c r="AF524" s="83"/>
      <c r="AG524" s="83"/>
      <c r="AH524" s="83"/>
      <c r="AI524" s="83"/>
      <c r="AJ524" s="83"/>
      <c r="AK524" s="83"/>
      <c r="AL524" s="83"/>
      <c r="AM524" s="83"/>
    </row>
    <row r="525" ht="13.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3"/>
      <c r="O525" s="83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  <c r="AB525" s="83"/>
      <c r="AC525" s="83"/>
      <c r="AD525" s="83"/>
      <c r="AE525" s="83"/>
      <c r="AF525" s="83"/>
      <c r="AG525" s="83"/>
      <c r="AH525" s="83"/>
      <c r="AI525" s="83"/>
      <c r="AJ525" s="83"/>
      <c r="AK525" s="83"/>
      <c r="AL525" s="83"/>
      <c r="AM525" s="83"/>
    </row>
    <row r="526" ht="13.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3"/>
      <c r="O526" s="83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  <c r="AB526" s="83"/>
      <c r="AC526" s="83"/>
      <c r="AD526" s="83"/>
      <c r="AE526" s="83"/>
      <c r="AF526" s="83"/>
      <c r="AG526" s="83"/>
      <c r="AH526" s="83"/>
      <c r="AI526" s="83"/>
      <c r="AJ526" s="83"/>
      <c r="AK526" s="83"/>
      <c r="AL526" s="83"/>
      <c r="AM526" s="83"/>
    </row>
    <row r="527" ht="13.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3"/>
      <c r="O527" s="83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  <c r="AB527" s="83"/>
      <c r="AC527" s="83"/>
      <c r="AD527" s="83"/>
      <c r="AE527" s="83"/>
      <c r="AF527" s="83"/>
      <c r="AG527" s="83"/>
      <c r="AH527" s="83"/>
      <c r="AI527" s="83"/>
      <c r="AJ527" s="83"/>
      <c r="AK527" s="83"/>
      <c r="AL527" s="83"/>
      <c r="AM527" s="83"/>
    </row>
    <row r="528" ht="13.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3"/>
      <c r="O528" s="83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  <c r="AB528" s="83"/>
      <c r="AC528" s="83"/>
      <c r="AD528" s="83"/>
      <c r="AE528" s="83"/>
      <c r="AF528" s="83"/>
      <c r="AG528" s="83"/>
      <c r="AH528" s="83"/>
      <c r="AI528" s="83"/>
      <c r="AJ528" s="83"/>
      <c r="AK528" s="83"/>
      <c r="AL528" s="83"/>
      <c r="AM528" s="83"/>
    </row>
    <row r="529" ht="13.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3"/>
      <c r="O529" s="83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  <c r="AB529" s="83"/>
      <c r="AC529" s="83"/>
      <c r="AD529" s="83"/>
      <c r="AE529" s="83"/>
      <c r="AF529" s="83"/>
      <c r="AG529" s="83"/>
      <c r="AH529" s="83"/>
      <c r="AI529" s="83"/>
      <c r="AJ529" s="83"/>
      <c r="AK529" s="83"/>
      <c r="AL529" s="83"/>
      <c r="AM529" s="83"/>
    </row>
    <row r="530" ht="13.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3"/>
      <c r="O530" s="83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  <c r="AB530" s="83"/>
      <c r="AC530" s="83"/>
      <c r="AD530" s="83"/>
      <c r="AE530" s="83"/>
      <c r="AF530" s="83"/>
      <c r="AG530" s="83"/>
      <c r="AH530" s="83"/>
      <c r="AI530" s="83"/>
      <c r="AJ530" s="83"/>
      <c r="AK530" s="83"/>
      <c r="AL530" s="83"/>
      <c r="AM530" s="83"/>
    </row>
    <row r="531" ht="13.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3"/>
      <c r="O531" s="83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  <c r="AB531" s="83"/>
      <c r="AC531" s="83"/>
      <c r="AD531" s="83"/>
      <c r="AE531" s="83"/>
      <c r="AF531" s="83"/>
      <c r="AG531" s="83"/>
      <c r="AH531" s="83"/>
      <c r="AI531" s="83"/>
      <c r="AJ531" s="83"/>
      <c r="AK531" s="83"/>
      <c r="AL531" s="83"/>
      <c r="AM531" s="83"/>
    </row>
    <row r="532" ht="13.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3"/>
      <c r="O532" s="83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  <c r="AB532" s="83"/>
      <c r="AC532" s="83"/>
      <c r="AD532" s="83"/>
      <c r="AE532" s="83"/>
      <c r="AF532" s="83"/>
      <c r="AG532" s="83"/>
      <c r="AH532" s="83"/>
      <c r="AI532" s="83"/>
      <c r="AJ532" s="83"/>
      <c r="AK532" s="83"/>
      <c r="AL532" s="83"/>
      <c r="AM532" s="83"/>
    </row>
    <row r="533" ht="13.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3"/>
      <c r="O533" s="83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  <c r="AB533" s="83"/>
      <c r="AC533" s="83"/>
      <c r="AD533" s="83"/>
      <c r="AE533" s="83"/>
      <c r="AF533" s="83"/>
      <c r="AG533" s="83"/>
      <c r="AH533" s="83"/>
      <c r="AI533" s="83"/>
      <c r="AJ533" s="83"/>
      <c r="AK533" s="83"/>
      <c r="AL533" s="83"/>
      <c r="AM533" s="83"/>
    </row>
    <row r="534" ht="13.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3"/>
      <c r="O534" s="83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  <c r="AB534" s="83"/>
      <c r="AC534" s="83"/>
      <c r="AD534" s="83"/>
      <c r="AE534" s="83"/>
      <c r="AF534" s="83"/>
      <c r="AG534" s="83"/>
      <c r="AH534" s="83"/>
      <c r="AI534" s="83"/>
      <c r="AJ534" s="83"/>
      <c r="AK534" s="83"/>
      <c r="AL534" s="83"/>
      <c r="AM534" s="83"/>
    </row>
    <row r="535" ht="13.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3"/>
      <c r="O535" s="83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  <c r="AB535" s="83"/>
      <c r="AC535" s="83"/>
      <c r="AD535" s="83"/>
      <c r="AE535" s="83"/>
      <c r="AF535" s="83"/>
      <c r="AG535" s="83"/>
      <c r="AH535" s="83"/>
      <c r="AI535" s="83"/>
      <c r="AJ535" s="83"/>
      <c r="AK535" s="83"/>
      <c r="AL535" s="83"/>
      <c r="AM535" s="83"/>
    </row>
    <row r="536" ht="13.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3"/>
      <c r="O536" s="83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  <c r="AB536" s="83"/>
      <c r="AC536" s="83"/>
      <c r="AD536" s="83"/>
      <c r="AE536" s="83"/>
      <c r="AF536" s="83"/>
      <c r="AG536" s="83"/>
      <c r="AH536" s="83"/>
      <c r="AI536" s="83"/>
      <c r="AJ536" s="83"/>
      <c r="AK536" s="83"/>
      <c r="AL536" s="83"/>
      <c r="AM536" s="83"/>
    </row>
    <row r="537" ht="13.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3"/>
      <c r="O537" s="83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  <c r="AB537" s="83"/>
      <c r="AC537" s="83"/>
      <c r="AD537" s="83"/>
      <c r="AE537" s="83"/>
      <c r="AF537" s="83"/>
      <c r="AG537" s="83"/>
      <c r="AH537" s="83"/>
      <c r="AI537" s="83"/>
      <c r="AJ537" s="83"/>
      <c r="AK537" s="83"/>
      <c r="AL537" s="83"/>
      <c r="AM537" s="83"/>
    </row>
    <row r="538" ht="13.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3"/>
      <c r="O538" s="83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  <c r="AB538" s="83"/>
      <c r="AC538" s="83"/>
      <c r="AD538" s="83"/>
      <c r="AE538" s="83"/>
      <c r="AF538" s="83"/>
      <c r="AG538" s="83"/>
      <c r="AH538" s="83"/>
      <c r="AI538" s="83"/>
      <c r="AJ538" s="83"/>
      <c r="AK538" s="83"/>
      <c r="AL538" s="83"/>
      <c r="AM538" s="83"/>
    </row>
    <row r="539" ht="13.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3"/>
      <c r="O539" s="83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  <c r="AB539" s="83"/>
      <c r="AC539" s="83"/>
      <c r="AD539" s="83"/>
      <c r="AE539" s="83"/>
      <c r="AF539" s="83"/>
      <c r="AG539" s="83"/>
      <c r="AH539" s="83"/>
      <c r="AI539" s="83"/>
      <c r="AJ539" s="83"/>
      <c r="AK539" s="83"/>
      <c r="AL539" s="83"/>
      <c r="AM539" s="83"/>
    </row>
    <row r="540" ht="13.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3"/>
      <c r="O540" s="83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  <c r="AB540" s="83"/>
      <c r="AC540" s="83"/>
      <c r="AD540" s="83"/>
      <c r="AE540" s="83"/>
      <c r="AF540" s="83"/>
      <c r="AG540" s="83"/>
      <c r="AH540" s="83"/>
      <c r="AI540" s="83"/>
      <c r="AJ540" s="83"/>
      <c r="AK540" s="83"/>
      <c r="AL540" s="83"/>
      <c r="AM540" s="83"/>
    </row>
    <row r="541" ht="13.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3"/>
      <c r="O541" s="83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  <c r="AB541" s="83"/>
      <c r="AC541" s="83"/>
      <c r="AD541" s="83"/>
      <c r="AE541" s="83"/>
      <c r="AF541" s="83"/>
      <c r="AG541" s="83"/>
      <c r="AH541" s="83"/>
      <c r="AI541" s="83"/>
      <c r="AJ541" s="83"/>
      <c r="AK541" s="83"/>
      <c r="AL541" s="83"/>
      <c r="AM541" s="83"/>
    </row>
    <row r="542" ht="13.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3"/>
      <c r="O542" s="83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  <c r="AB542" s="83"/>
      <c r="AC542" s="83"/>
      <c r="AD542" s="83"/>
      <c r="AE542" s="83"/>
      <c r="AF542" s="83"/>
      <c r="AG542" s="83"/>
      <c r="AH542" s="83"/>
      <c r="AI542" s="83"/>
      <c r="AJ542" s="83"/>
      <c r="AK542" s="83"/>
      <c r="AL542" s="83"/>
      <c r="AM542" s="83"/>
    </row>
    <row r="543" ht="13.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3"/>
      <c r="O543" s="83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  <c r="AB543" s="83"/>
      <c r="AC543" s="83"/>
      <c r="AD543" s="83"/>
      <c r="AE543" s="83"/>
      <c r="AF543" s="83"/>
      <c r="AG543" s="83"/>
      <c r="AH543" s="83"/>
      <c r="AI543" s="83"/>
      <c r="AJ543" s="83"/>
      <c r="AK543" s="83"/>
      <c r="AL543" s="83"/>
      <c r="AM543" s="83"/>
    </row>
    <row r="544" ht="13.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3"/>
      <c r="O544" s="83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  <c r="AB544" s="83"/>
      <c r="AC544" s="83"/>
      <c r="AD544" s="83"/>
      <c r="AE544" s="83"/>
      <c r="AF544" s="83"/>
      <c r="AG544" s="83"/>
      <c r="AH544" s="83"/>
      <c r="AI544" s="83"/>
      <c r="AJ544" s="83"/>
      <c r="AK544" s="83"/>
      <c r="AL544" s="83"/>
      <c r="AM544" s="83"/>
    </row>
    <row r="545" ht="13.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3"/>
      <c r="O545" s="83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  <c r="AB545" s="83"/>
      <c r="AC545" s="83"/>
      <c r="AD545" s="83"/>
      <c r="AE545" s="83"/>
      <c r="AF545" s="83"/>
      <c r="AG545" s="83"/>
      <c r="AH545" s="83"/>
      <c r="AI545" s="83"/>
      <c r="AJ545" s="83"/>
      <c r="AK545" s="83"/>
      <c r="AL545" s="83"/>
      <c r="AM545" s="83"/>
    </row>
    <row r="546" ht="13.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3"/>
      <c r="O546" s="83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  <c r="AB546" s="83"/>
      <c r="AC546" s="83"/>
      <c r="AD546" s="83"/>
      <c r="AE546" s="83"/>
      <c r="AF546" s="83"/>
      <c r="AG546" s="83"/>
      <c r="AH546" s="83"/>
      <c r="AI546" s="83"/>
      <c r="AJ546" s="83"/>
      <c r="AK546" s="83"/>
      <c r="AL546" s="83"/>
      <c r="AM546" s="83"/>
    </row>
    <row r="547" ht="13.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3"/>
      <c r="O547" s="83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  <c r="AB547" s="83"/>
      <c r="AC547" s="83"/>
      <c r="AD547" s="83"/>
      <c r="AE547" s="83"/>
      <c r="AF547" s="83"/>
      <c r="AG547" s="83"/>
      <c r="AH547" s="83"/>
      <c r="AI547" s="83"/>
      <c r="AJ547" s="83"/>
      <c r="AK547" s="83"/>
      <c r="AL547" s="83"/>
      <c r="AM547" s="83"/>
    </row>
    <row r="548" ht="13.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3"/>
      <c r="O548" s="83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  <c r="AB548" s="83"/>
      <c r="AC548" s="83"/>
      <c r="AD548" s="83"/>
      <c r="AE548" s="83"/>
      <c r="AF548" s="83"/>
      <c r="AG548" s="83"/>
      <c r="AH548" s="83"/>
      <c r="AI548" s="83"/>
      <c r="AJ548" s="83"/>
      <c r="AK548" s="83"/>
      <c r="AL548" s="83"/>
      <c r="AM548" s="83"/>
    </row>
    <row r="549" ht="13.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3"/>
      <c r="O549" s="83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  <c r="AB549" s="83"/>
      <c r="AC549" s="83"/>
      <c r="AD549" s="83"/>
      <c r="AE549" s="83"/>
      <c r="AF549" s="83"/>
      <c r="AG549" s="83"/>
      <c r="AH549" s="83"/>
      <c r="AI549" s="83"/>
      <c r="AJ549" s="83"/>
      <c r="AK549" s="83"/>
      <c r="AL549" s="83"/>
      <c r="AM549" s="83"/>
    </row>
    <row r="550" ht="13.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  <c r="AB550" s="83"/>
      <c r="AC550" s="83"/>
      <c r="AD550" s="83"/>
      <c r="AE550" s="83"/>
      <c r="AF550" s="83"/>
      <c r="AG550" s="83"/>
      <c r="AH550" s="83"/>
      <c r="AI550" s="83"/>
      <c r="AJ550" s="83"/>
      <c r="AK550" s="83"/>
      <c r="AL550" s="83"/>
      <c r="AM550" s="83"/>
    </row>
    <row r="551" ht="13.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3"/>
      <c r="O551" s="83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  <c r="AB551" s="83"/>
      <c r="AC551" s="83"/>
      <c r="AD551" s="83"/>
      <c r="AE551" s="83"/>
      <c r="AF551" s="83"/>
      <c r="AG551" s="83"/>
      <c r="AH551" s="83"/>
      <c r="AI551" s="83"/>
      <c r="AJ551" s="83"/>
      <c r="AK551" s="83"/>
      <c r="AL551" s="83"/>
      <c r="AM551" s="83"/>
    </row>
    <row r="552" ht="13.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3"/>
      <c r="O552" s="83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  <c r="AB552" s="83"/>
      <c r="AC552" s="83"/>
      <c r="AD552" s="83"/>
      <c r="AE552" s="83"/>
      <c r="AF552" s="83"/>
      <c r="AG552" s="83"/>
      <c r="AH552" s="83"/>
      <c r="AI552" s="83"/>
      <c r="AJ552" s="83"/>
      <c r="AK552" s="83"/>
      <c r="AL552" s="83"/>
      <c r="AM552" s="83"/>
    </row>
    <row r="553" ht="13.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3"/>
      <c r="O553" s="83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  <c r="AB553" s="83"/>
      <c r="AC553" s="83"/>
      <c r="AD553" s="83"/>
      <c r="AE553" s="83"/>
      <c r="AF553" s="83"/>
      <c r="AG553" s="83"/>
      <c r="AH553" s="83"/>
      <c r="AI553" s="83"/>
      <c r="AJ553" s="83"/>
      <c r="AK553" s="83"/>
      <c r="AL553" s="83"/>
      <c r="AM553" s="83"/>
    </row>
    <row r="554" ht="13.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3"/>
      <c r="O554" s="83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  <c r="AB554" s="83"/>
      <c r="AC554" s="83"/>
      <c r="AD554" s="83"/>
      <c r="AE554" s="83"/>
      <c r="AF554" s="83"/>
      <c r="AG554" s="83"/>
      <c r="AH554" s="83"/>
      <c r="AI554" s="83"/>
      <c r="AJ554" s="83"/>
      <c r="AK554" s="83"/>
      <c r="AL554" s="83"/>
      <c r="AM554" s="83"/>
    </row>
    <row r="555" ht="13.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3"/>
      <c r="O555" s="83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  <c r="AB555" s="83"/>
      <c r="AC555" s="83"/>
      <c r="AD555" s="83"/>
      <c r="AE555" s="83"/>
      <c r="AF555" s="83"/>
      <c r="AG555" s="83"/>
      <c r="AH555" s="83"/>
      <c r="AI555" s="83"/>
      <c r="AJ555" s="83"/>
      <c r="AK555" s="83"/>
      <c r="AL555" s="83"/>
      <c r="AM555" s="83"/>
    </row>
    <row r="556" ht="13.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3"/>
      <c r="O556" s="83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  <c r="AB556" s="83"/>
      <c r="AC556" s="83"/>
      <c r="AD556" s="83"/>
      <c r="AE556" s="83"/>
      <c r="AF556" s="83"/>
      <c r="AG556" s="83"/>
      <c r="AH556" s="83"/>
      <c r="AI556" s="83"/>
      <c r="AJ556" s="83"/>
      <c r="AK556" s="83"/>
      <c r="AL556" s="83"/>
      <c r="AM556" s="83"/>
    </row>
    <row r="557" ht="13.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3"/>
      <c r="O557" s="83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  <c r="AB557" s="83"/>
      <c r="AC557" s="83"/>
      <c r="AD557" s="83"/>
      <c r="AE557" s="83"/>
      <c r="AF557" s="83"/>
      <c r="AG557" s="83"/>
      <c r="AH557" s="83"/>
      <c r="AI557" s="83"/>
      <c r="AJ557" s="83"/>
      <c r="AK557" s="83"/>
      <c r="AL557" s="83"/>
      <c r="AM557" s="83"/>
    </row>
    <row r="558" ht="13.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3"/>
      <c r="O558" s="83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  <c r="AB558" s="83"/>
      <c r="AC558" s="83"/>
      <c r="AD558" s="83"/>
      <c r="AE558" s="83"/>
      <c r="AF558" s="83"/>
      <c r="AG558" s="83"/>
      <c r="AH558" s="83"/>
      <c r="AI558" s="83"/>
      <c r="AJ558" s="83"/>
      <c r="AK558" s="83"/>
      <c r="AL558" s="83"/>
      <c r="AM558" s="83"/>
    </row>
    <row r="559" ht="13.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3"/>
      <c r="O559" s="83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  <c r="AB559" s="83"/>
      <c r="AC559" s="83"/>
      <c r="AD559" s="83"/>
      <c r="AE559" s="83"/>
      <c r="AF559" s="83"/>
      <c r="AG559" s="83"/>
      <c r="AH559" s="83"/>
      <c r="AI559" s="83"/>
      <c r="AJ559" s="83"/>
      <c r="AK559" s="83"/>
      <c r="AL559" s="83"/>
      <c r="AM559" s="83"/>
    </row>
    <row r="560" ht="13.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3"/>
      <c r="O560" s="83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  <c r="AB560" s="83"/>
      <c r="AC560" s="83"/>
      <c r="AD560" s="83"/>
      <c r="AE560" s="83"/>
      <c r="AF560" s="83"/>
      <c r="AG560" s="83"/>
      <c r="AH560" s="83"/>
      <c r="AI560" s="83"/>
      <c r="AJ560" s="83"/>
      <c r="AK560" s="83"/>
      <c r="AL560" s="83"/>
      <c r="AM560" s="83"/>
    </row>
    <row r="561" ht="13.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3"/>
      <c r="O561" s="83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  <c r="AB561" s="83"/>
      <c r="AC561" s="83"/>
      <c r="AD561" s="83"/>
      <c r="AE561" s="83"/>
      <c r="AF561" s="83"/>
      <c r="AG561" s="83"/>
      <c r="AH561" s="83"/>
      <c r="AI561" s="83"/>
      <c r="AJ561" s="83"/>
      <c r="AK561" s="83"/>
      <c r="AL561" s="83"/>
      <c r="AM561" s="83"/>
    </row>
    <row r="562" ht="13.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3"/>
      <c r="O562" s="83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  <c r="AB562" s="83"/>
      <c r="AC562" s="83"/>
      <c r="AD562" s="83"/>
      <c r="AE562" s="83"/>
      <c r="AF562" s="83"/>
      <c r="AG562" s="83"/>
      <c r="AH562" s="83"/>
      <c r="AI562" s="83"/>
      <c r="AJ562" s="83"/>
      <c r="AK562" s="83"/>
      <c r="AL562" s="83"/>
      <c r="AM562" s="83"/>
    </row>
    <row r="563" ht="13.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3"/>
      <c r="O563" s="83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  <c r="AB563" s="83"/>
      <c r="AC563" s="83"/>
      <c r="AD563" s="83"/>
      <c r="AE563" s="83"/>
      <c r="AF563" s="83"/>
      <c r="AG563" s="83"/>
      <c r="AH563" s="83"/>
      <c r="AI563" s="83"/>
      <c r="AJ563" s="83"/>
      <c r="AK563" s="83"/>
      <c r="AL563" s="83"/>
      <c r="AM563" s="83"/>
    </row>
    <row r="564" ht="13.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3"/>
      <c r="O564" s="83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  <c r="AB564" s="83"/>
      <c r="AC564" s="83"/>
      <c r="AD564" s="83"/>
      <c r="AE564" s="83"/>
      <c r="AF564" s="83"/>
      <c r="AG564" s="83"/>
      <c r="AH564" s="83"/>
      <c r="AI564" s="83"/>
      <c r="AJ564" s="83"/>
      <c r="AK564" s="83"/>
      <c r="AL564" s="83"/>
      <c r="AM564" s="83"/>
    </row>
    <row r="565" ht="13.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3"/>
      <c r="O565" s="83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  <c r="AB565" s="83"/>
      <c r="AC565" s="83"/>
      <c r="AD565" s="83"/>
      <c r="AE565" s="83"/>
      <c r="AF565" s="83"/>
      <c r="AG565" s="83"/>
      <c r="AH565" s="83"/>
      <c r="AI565" s="83"/>
      <c r="AJ565" s="83"/>
      <c r="AK565" s="83"/>
      <c r="AL565" s="83"/>
      <c r="AM565" s="83"/>
    </row>
    <row r="566" ht="13.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3"/>
      <c r="O566" s="83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  <c r="AB566" s="83"/>
      <c r="AC566" s="83"/>
      <c r="AD566" s="83"/>
      <c r="AE566" s="83"/>
      <c r="AF566" s="83"/>
      <c r="AG566" s="83"/>
      <c r="AH566" s="83"/>
      <c r="AI566" s="83"/>
      <c r="AJ566" s="83"/>
      <c r="AK566" s="83"/>
      <c r="AL566" s="83"/>
      <c r="AM566" s="83"/>
    </row>
    <row r="567" ht="13.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3"/>
      <c r="O567" s="83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  <c r="AB567" s="83"/>
      <c r="AC567" s="83"/>
      <c r="AD567" s="83"/>
      <c r="AE567" s="83"/>
      <c r="AF567" s="83"/>
      <c r="AG567" s="83"/>
      <c r="AH567" s="83"/>
      <c r="AI567" s="83"/>
      <c r="AJ567" s="83"/>
      <c r="AK567" s="83"/>
      <c r="AL567" s="83"/>
      <c r="AM567" s="83"/>
    </row>
    <row r="568" ht="13.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3"/>
      <c r="O568" s="83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  <c r="AB568" s="83"/>
      <c r="AC568" s="83"/>
      <c r="AD568" s="83"/>
      <c r="AE568" s="83"/>
      <c r="AF568" s="83"/>
      <c r="AG568" s="83"/>
      <c r="AH568" s="83"/>
      <c r="AI568" s="83"/>
      <c r="AJ568" s="83"/>
      <c r="AK568" s="83"/>
      <c r="AL568" s="83"/>
      <c r="AM568" s="83"/>
    </row>
    <row r="569" ht="13.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3"/>
      <c r="O569" s="83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  <c r="AB569" s="83"/>
      <c r="AC569" s="83"/>
      <c r="AD569" s="83"/>
      <c r="AE569" s="83"/>
      <c r="AF569" s="83"/>
      <c r="AG569" s="83"/>
      <c r="AH569" s="83"/>
      <c r="AI569" s="83"/>
      <c r="AJ569" s="83"/>
      <c r="AK569" s="83"/>
      <c r="AL569" s="83"/>
      <c r="AM569" s="83"/>
    </row>
    <row r="570" ht="13.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3"/>
      <c r="O570" s="83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  <c r="AB570" s="83"/>
      <c r="AC570" s="83"/>
      <c r="AD570" s="83"/>
      <c r="AE570" s="83"/>
      <c r="AF570" s="83"/>
      <c r="AG570" s="83"/>
      <c r="AH570" s="83"/>
      <c r="AI570" s="83"/>
      <c r="AJ570" s="83"/>
      <c r="AK570" s="83"/>
      <c r="AL570" s="83"/>
      <c r="AM570" s="83"/>
    </row>
    <row r="571" ht="13.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3"/>
      <c r="O571" s="83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  <c r="AB571" s="83"/>
      <c r="AC571" s="83"/>
      <c r="AD571" s="83"/>
      <c r="AE571" s="83"/>
      <c r="AF571" s="83"/>
      <c r="AG571" s="83"/>
      <c r="AH571" s="83"/>
      <c r="AI571" s="83"/>
      <c r="AJ571" s="83"/>
      <c r="AK571" s="83"/>
      <c r="AL571" s="83"/>
      <c r="AM571" s="83"/>
    </row>
    <row r="572" ht="13.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3"/>
      <c r="O572" s="83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  <c r="AB572" s="83"/>
      <c r="AC572" s="83"/>
      <c r="AD572" s="83"/>
      <c r="AE572" s="83"/>
      <c r="AF572" s="83"/>
      <c r="AG572" s="83"/>
      <c r="AH572" s="83"/>
      <c r="AI572" s="83"/>
      <c r="AJ572" s="83"/>
      <c r="AK572" s="83"/>
      <c r="AL572" s="83"/>
      <c r="AM572" s="83"/>
    </row>
    <row r="573" ht="13.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3"/>
      <c r="O573" s="83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  <c r="AB573" s="83"/>
      <c r="AC573" s="83"/>
      <c r="AD573" s="83"/>
      <c r="AE573" s="83"/>
      <c r="AF573" s="83"/>
      <c r="AG573" s="83"/>
      <c r="AH573" s="83"/>
      <c r="AI573" s="83"/>
      <c r="AJ573" s="83"/>
      <c r="AK573" s="83"/>
      <c r="AL573" s="83"/>
      <c r="AM573" s="83"/>
    </row>
    <row r="574" ht="13.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3"/>
      <c r="O574" s="83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  <c r="AB574" s="83"/>
      <c r="AC574" s="83"/>
      <c r="AD574" s="83"/>
      <c r="AE574" s="83"/>
      <c r="AF574" s="83"/>
      <c r="AG574" s="83"/>
      <c r="AH574" s="83"/>
      <c r="AI574" s="83"/>
      <c r="AJ574" s="83"/>
      <c r="AK574" s="83"/>
      <c r="AL574" s="83"/>
      <c r="AM574" s="83"/>
    </row>
    <row r="575" ht="13.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3"/>
      <c r="O575" s="83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  <c r="AB575" s="83"/>
      <c r="AC575" s="83"/>
      <c r="AD575" s="83"/>
      <c r="AE575" s="83"/>
      <c r="AF575" s="83"/>
      <c r="AG575" s="83"/>
      <c r="AH575" s="83"/>
      <c r="AI575" s="83"/>
      <c r="AJ575" s="83"/>
      <c r="AK575" s="83"/>
      <c r="AL575" s="83"/>
      <c r="AM575" s="83"/>
    </row>
    <row r="576" ht="13.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3"/>
      <c r="O576" s="83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  <c r="AB576" s="83"/>
      <c r="AC576" s="83"/>
      <c r="AD576" s="83"/>
      <c r="AE576" s="83"/>
      <c r="AF576" s="83"/>
      <c r="AG576" s="83"/>
      <c r="AH576" s="83"/>
      <c r="AI576" s="83"/>
      <c r="AJ576" s="83"/>
      <c r="AK576" s="83"/>
      <c r="AL576" s="83"/>
      <c r="AM576" s="83"/>
    </row>
    <row r="577" ht="13.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3"/>
      <c r="O577" s="83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  <c r="AB577" s="83"/>
      <c r="AC577" s="83"/>
      <c r="AD577" s="83"/>
      <c r="AE577" s="83"/>
      <c r="AF577" s="83"/>
      <c r="AG577" s="83"/>
      <c r="AH577" s="83"/>
      <c r="AI577" s="83"/>
      <c r="AJ577" s="83"/>
      <c r="AK577" s="83"/>
      <c r="AL577" s="83"/>
      <c r="AM577" s="83"/>
    </row>
    <row r="578" ht="13.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3"/>
      <c r="O578" s="83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  <c r="AB578" s="83"/>
      <c r="AC578" s="83"/>
      <c r="AD578" s="83"/>
      <c r="AE578" s="83"/>
      <c r="AF578" s="83"/>
      <c r="AG578" s="83"/>
      <c r="AH578" s="83"/>
      <c r="AI578" s="83"/>
      <c r="AJ578" s="83"/>
      <c r="AK578" s="83"/>
      <c r="AL578" s="83"/>
      <c r="AM578" s="83"/>
    </row>
    <row r="579" ht="13.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3"/>
      <c r="O579" s="83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  <c r="AB579" s="83"/>
      <c r="AC579" s="83"/>
      <c r="AD579" s="83"/>
      <c r="AE579" s="83"/>
      <c r="AF579" s="83"/>
      <c r="AG579" s="83"/>
      <c r="AH579" s="83"/>
      <c r="AI579" s="83"/>
      <c r="AJ579" s="83"/>
      <c r="AK579" s="83"/>
      <c r="AL579" s="83"/>
      <c r="AM579" s="83"/>
    </row>
    <row r="580" ht="13.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3"/>
      <c r="O580" s="83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  <c r="AB580" s="83"/>
      <c r="AC580" s="83"/>
      <c r="AD580" s="83"/>
      <c r="AE580" s="83"/>
      <c r="AF580" s="83"/>
      <c r="AG580" s="83"/>
      <c r="AH580" s="83"/>
      <c r="AI580" s="83"/>
      <c r="AJ580" s="83"/>
      <c r="AK580" s="83"/>
      <c r="AL580" s="83"/>
      <c r="AM580" s="83"/>
    </row>
    <row r="581" ht="13.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3"/>
      <c r="O581" s="83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  <c r="AB581" s="83"/>
      <c r="AC581" s="83"/>
      <c r="AD581" s="83"/>
      <c r="AE581" s="83"/>
      <c r="AF581" s="83"/>
      <c r="AG581" s="83"/>
      <c r="AH581" s="83"/>
      <c r="AI581" s="83"/>
      <c r="AJ581" s="83"/>
      <c r="AK581" s="83"/>
      <c r="AL581" s="83"/>
      <c r="AM581" s="83"/>
    </row>
    <row r="582" ht="13.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3"/>
      <c r="O582" s="83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  <c r="AB582" s="83"/>
      <c r="AC582" s="83"/>
      <c r="AD582" s="83"/>
      <c r="AE582" s="83"/>
      <c r="AF582" s="83"/>
      <c r="AG582" s="83"/>
      <c r="AH582" s="83"/>
      <c r="AI582" s="83"/>
      <c r="AJ582" s="83"/>
      <c r="AK582" s="83"/>
      <c r="AL582" s="83"/>
      <c r="AM582" s="83"/>
    </row>
    <row r="583" ht="13.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3"/>
      <c r="O583" s="83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  <c r="AB583" s="83"/>
      <c r="AC583" s="83"/>
      <c r="AD583" s="83"/>
      <c r="AE583" s="83"/>
      <c r="AF583" s="83"/>
      <c r="AG583" s="83"/>
      <c r="AH583" s="83"/>
      <c r="AI583" s="83"/>
      <c r="AJ583" s="83"/>
      <c r="AK583" s="83"/>
      <c r="AL583" s="83"/>
      <c r="AM583" s="83"/>
    </row>
    <row r="584" ht="13.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3"/>
      <c r="O584" s="83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  <c r="AB584" s="83"/>
      <c r="AC584" s="83"/>
      <c r="AD584" s="83"/>
      <c r="AE584" s="83"/>
      <c r="AF584" s="83"/>
      <c r="AG584" s="83"/>
      <c r="AH584" s="83"/>
      <c r="AI584" s="83"/>
      <c r="AJ584" s="83"/>
      <c r="AK584" s="83"/>
      <c r="AL584" s="83"/>
      <c r="AM584" s="83"/>
    </row>
    <row r="585" ht="13.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3"/>
      <c r="O585" s="83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  <c r="AB585" s="83"/>
      <c r="AC585" s="83"/>
      <c r="AD585" s="83"/>
      <c r="AE585" s="83"/>
      <c r="AF585" s="83"/>
      <c r="AG585" s="83"/>
      <c r="AH585" s="83"/>
      <c r="AI585" s="83"/>
      <c r="AJ585" s="83"/>
      <c r="AK585" s="83"/>
      <c r="AL585" s="83"/>
      <c r="AM585" s="83"/>
    </row>
    <row r="586" ht="13.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3"/>
      <c r="O586" s="83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  <c r="AB586" s="83"/>
      <c r="AC586" s="83"/>
      <c r="AD586" s="83"/>
      <c r="AE586" s="83"/>
      <c r="AF586" s="83"/>
      <c r="AG586" s="83"/>
      <c r="AH586" s="83"/>
      <c r="AI586" s="83"/>
      <c r="AJ586" s="83"/>
      <c r="AK586" s="83"/>
      <c r="AL586" s="83"/>
      <c r="AM586" s="83"/>
    </row>
    <row r="587" ht="13.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3"/>
      <c r="O587" s="83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  <c r="AB587" s="83"/>
      <c r="AC587" s="83"/>
      <c r="AD587" s="83"/>
      <c r="AE587" s="83"/>
      <c r="AF587" s="83"/>
      <c r="AG587" s="83"/>
      <c r="AH587" s="83"/>
      <c r="AI587" s="83"/>
      <c r="AJ587" s="83"/>
      <c r="AK587" s="83"/>
      <c r="AL587" s="83"/>
      <c r="AM587" s="83"/>
    </row>
    <row r="588" ht="13.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3"/>
      <c r="O588" s="83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  <c r="AB588" s="83"/>
      <c r="AC588" s="83"/>
      <c r="AD588" s="83"/>
      <c r="AE588" s="83"/>
      <c r="AF588" s="83"/>
      <c r="AG588" s="83"/>
      <c r="AH588" s="83"/>
      <c r="AI588" s="83"/>
      <c r="AJ588" s="83"/>
      <c r="AK588" s="83"/>
      <c r="AL588" s="83"/>
      <c r="AM588" s="83"/>
    </row>
    <row r="589" ht="13.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3"/>
      <c r="O589" s="83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  <c r="AB589" s="83"/>
      <c r="AC589" s="83"/>
      <c r="AD589" s="83"/>
      <c r="AE589" s="83"/>
      <c r="AF589" s="83"/>
      <c r="AG589" s="83"/>
      <c r="AH589" s="83"/>
      <c r="AI589" s="83"/>
      <c r="AJ589" s="83"/>
      <c r="AK589" s="83"/>
      <c r="AL589" s="83"/>
      <c r="AM589" s="83"/>
    </row>
    <row r="590" ht="13.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3"/>
      <c r="O590" s="83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  <c r="AB590" s="83"/>
      <c r="AC590" s="83"/>
      <c r="AD590" s="83"/>
      <c r="AE590" s="83"/>
      <c r="AF590" s="83"/>
      <c r="AG590" s="83"/>
      <c r="AH590" s="83"/>
      <c r="AI590" s="83"/>
      <c r="AJ590" s="83"/>
      <c r="AK590" s="83"/>
      <c r="AL590" s="83"/>
      <c r="AM590" s="83"/>
    </row>
    <row r="591" ht="13.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3"/>
      <c r="O591" s="83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  <c r="AB591" s="83"/>
      <c r="AC591" s="83"/>
      <c r="AD591" s="83"/>
      <c r="AE591" s="83"/>
      <c r="AF591" s="83"/>
      <c r="AG591" s="83"/>
      <c r="AH591" s="83"/>
      <c r="AI591" s="83"/>
      <c r="AJ591" s="83"/>
      <c r="AK591" s="83"/>
      <c r="AL591" s="83"/>
      <c r="AM591" s="83"/>
    </row>
    <row r="592" ht="13.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3"/>
      <c r="O592" s="83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  <c r="AB592" s="83"/>
      <c r="AC592" s="83"/>
      <c r="AD592" s="83"/>
      <c r="AE592" s="83"/>
      <c r="AF592" s="83"/>
      <c r="AG592" s="83"/>
      <c r="AH592" s="83"/>
      <c r="AI592" s="83"/>
      <c r="AJ592" s="83"/>
      <c r="AK592" s="83"/>
      <c r="AL592" s="83"/>
      <c r="AM592" s="83"/>
    </row>
    <row r="593" ht="13.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3"/>
      <c r="O593" s="83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  <c r="AB593" s="83"/>
      <c r="AC593" s="83"/>
      <c r="AD593" s="83"/>
      <c r="AE593" s="83"/>
      <c r="AF593" s="83"/>
      <c r="AG593" s="83"/>
      <c r="AH593" s="83"/>
      <c r="AI593" s="83"/>
      <c r="AJ593" s="83"/>
      <c r="AK593" s="83"/>
      <c r="AL593" s="83"/>
      <c r="AM593" s="83"/>
    </row>
    <row r="594" ht="13.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3"/>
      <c r="O594" s="83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  <c r="AB594" s="83"/>
      <c r="AC594" s="83"/>
      <c r="AD594" s="83"/>
      <c r="AE594" s="83"/>
      <c r="AF594" s="83"/>
      <c r="AG594" s="83"/>
      <c r="AH594" s="83"/>
      <c r="AI594" s="83"/>
      <c r="AJ594" s="83"/>
      <c r="AK594" s="83"/>
      <c r="AL594" s="83"/>
      <c r="AM594" s="83"/>
    </row>
    <row r="595" ht="13.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3"/>
      <c r="O595" s="83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  <c r="AB595" s="83"/>
      <c r="AC595" s="83"/>
      <c r="AD595" s="83"/>
      <c r="AE595" s="83"/>
      <c r="AF595" s="83"/>
      <c r="AG595" s="83"/>
      <c r="AH595" s="83"/>
      <c r="AI595" s="83"/>
      <c r="AJ595" s="83"/>
      <c r="AK595" s="83"/>
      <c r="AL595" s="83"/>
      <c r="AM595" s="83"/>
    </row>
    <row r="596" ht="13.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3"/>
      <c r="O596" s="83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  <c r="AB596" s="83"/>
      <c r="AC596" s="83"/>
      <c r="AD596" s="83"/>
      <c r="AE596" s="83"/>
      <c r="AF596" s="83"/>
      <c r="AG596" s="83"/>
      <c r="AH596" s="83"/>
      <c r="AI596" s="83"/>
      <c r="AJ596" s="83"/>
      <c r="AK596" s="83"/>
      <c r="AL596" s="83"/>
      <c r="AM596" s="83"/>
    </row>
    <row r="597" ht="13.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3"/>
      <c r="O597" s="83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  <c r="AB597" s="83"/>
      <c r="AC597" s="83"/>
      <c r="AD597" s="83"/>
      <c r="AE597" s="83"/>
      <c r="AF597" s="83"/>
      <c r="AG597" s="83"/>
      <c r="AH597" s="83"/>
      <c r="AI597" s="83"/>
      <c r="AJ597" s="83"/>
      <c r="AK597" s="83"/>
      <c r="AL597" s="83"/>
      <c r="AM597" s="83"/>
    </row>
    <row r="598" ht="13.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3"/>
      <c r="O598" s="83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  <c r="AB598" s="83"/>
      <c r="AC598" s="83"/>
      <c r="AD598" s="83"/>
      <c r="AE598" s="83"/>
      <c r="AF598" s="83"/>
      <c r="AG598" s="83"/>
      <c r="AH598" s="83"/>
      <c r="AI598" s="83"/>
      <c r="AJ598" s="83"/>
      <c r="AK598" s="83"/>
      <c r="AL598" s="83"/>
      <c r="AM598" s="83"/>
    </row>
    <row r="599" ht="13.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3"/>
      <c r="O599" s="83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  <c r="AB599" s="83"/>
      <c r="AC599" s="83"/>
      <c r="AD599" s="83"/>
      <c r="AE599" s="83"/>
      <c r="AF599" s="83"/>
      <c r="AG599" s="83"/>
      <c r="AH599" s="83"/>
      <c r="AI599" s="83"/>
      <c r="AJ599" s="83"/>
      <c r="AK599" s="83"/>
      <c r="AL599" s="83"/>
      <c r="AM599" s="83"/>
    </row>
    <row r="600" ht="13.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3"/>
      <c r="O600" s="83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  <c r="AB600" s="83"/>
      <c r="AC600" s="83"/>
      <c r="AD600" s="83"/>
      <c r="AE600" s="83"/>
      <c r="AF600" s="83"/>
      <c r="AG600" s="83"/>
      <c r="AH600" s="83"/>
      <c r="AI600" s="83"/>
      <c r="AJ600" s="83"/>
      <c r="AK600" s="83"/>
      <c r="AL600" s="83"/>
      <c r="AM600" s="83"/>
    </row>
    <row r="601" ht="13.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3"/>
      <c r="O601" s="83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  <c r="AB601" s="83"/>
      <c r="AC601" s="83"/>
      <c r="AD601" s="83"/>
      <c r="AE601" s="83"/>
      <c r="AF601" s="83"/>
      <c r="AG601" s="83"/>
      <c r="AH601" s="83"/>
      <c r="AI601" s="83"/>
      <c r="AJ601" s="83"/>
      <c r="AK601" s="83"/>
      <c r="AL601" s="83"/>
      <c r="AM601" s="83"/>
    </row>
    <row r="602" ht="13.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3"/>
      <c r="O602" s="83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  <c r="AB602" s="83"/>
      <c r="AC602" s="83"/>
      <c r="AD602" s="83"/>
      <c r="AE602" s="83"/>
      <c r="AF602" s="83"/>
      <c r="AG602" s="83"/>
      <c r="AH602" s="83"/>
      <c r="AI602" s="83"/>
      <c r="AJ602" s="83"/>
      <c r="AK602" s="83"/>
      <c r="AL602" s="83"/>
      <c r="AM602" s="83"/>
    </row>
    <row r="603" ht="13.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3"/>
      <c r="O603" s="83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  <c r="AB603" s="83"/>
      <c r="AC603" s="83"/>
      <c r="AD603" s="83"/>
      <c r="AE603" s="83"/>
      <c r="AF603" s="83"/>
      <c r="AG603" s="83"/>
      <c r="AH603" s="83"/>
      <c r="AI603" s="83"/>
      <c r="AJ603" s="83"/>
      <c r="AK603" s="83"/>
      <c r="AL603" s="83"/>
      <c r="AM603" s="83"/>
    </row>
    <row r="604" ht="13.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3"/>
      <c r="O604" s="83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  <c r="AB604" s="83"/>
      <c r="AC604" s="83"/>
      <c r="AD604" s="83"/>
      <c r="AE604" s="83"/>
      <c r="AF604" s="83"/>
      <c r="AG604" s="83"/>
      <c r="AH604" s="83"/>
      <c r="AI604" s="83"/>
      <c r="AJ604" s="83"/>
      <c r="AK604" s="83"/>
      <c r="AL604" s="83"/>
      <c r="AM604" s="83"/>
    </row>
    <row r="605" ht="13.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3"/>
      <c r="O605" s="83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  <c r="AB605" s="83"/>
      <c r="AC605" s="83"/>
      <c r="AD605" s="83"/>
      <c r="AE605" s="83"/>
      <c r="AF605" s="83"/>
      <c r="AG605" s="83"/>
      <c r="AH605" s="83"/>
      <c r="AI605" s="83"/>
      <c r="AJ605" s="83"/>
      <c r="AK605" s="83"/>
      <c r="AL605" s="83"/>
      <c r="AM605" s="83"/>
    </row>
    <row r="606" ht="13.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3"/>
      <c r="O606" s="83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  <c r="AB606" s="83"/>
      <c r="AC606" s="83"/>
      <c r="AD606" s="83"/>
      <c r="AE606" s="83"/>
      <c r="AF606" s="83"/>
      <c r="AG606" s="83"/>
      <c r="AH606" s="83"/>
      <c r="AI606" s="83"/>
      <c r="AJ606" s="83"/>
      <c r="AK606" s="83"/>
      <c r="AL606" s="83"/>
      <c r="AM606" s="83"/>
    </row>
    <row r="607" ht="13.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3"/>
      <c r="O607" s="83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  <c r="AB607" s="83"/>
      <c r="AC607" s="83"/>
      <c r="AD607" s="83"/>
      <c r="AE607" s="83"/>
      <c r="AF607" s="83"/>
      <c r="AG607" s="83"/>
      <c r="AH607" s="83"/>
      <c r="AI607" s="83"/>
      <c r="AJ607" s="83"/>
      <c r="AK607" s="83"/>
      <c r="AL607" s="83"/>
      <c r="AM607" s="83"/>
    </row>
    <row r="608" ht="13.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3"/>
      <c r="O608" s="83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  <c r="AB608" s="83"/>
      <c r="AC608" s="83"/>
      <c r="AD608" s="83"/>
      <c r="AE608" s="83"/>
      <c r="AF608" s="83"/>
      <c r="AG608" s="83"/>
      <c r="AH608" s="83"/>
      <c r="AI608" s="83"/>
      <c r="AJ608" s="83"/>
      <c r="AK608" s="83"/>
      <c r="AL608" s="83"/>
      <c r="AM608" s="83"/>
    </row>
    <row r="609" ht="13.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3"/>
      <c r="O609" s="83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  <c r="AB609" s="83"/>
      <c r="AC609" s="83"/>
      <c r="AD609" s="83"/>
      <c r="AE609" s="83"/>
      <c r="AF609" s="83"/>
      <c r="AG609" s="83"/>
      <c r="AH609" s="83"/>
      <c r="AI609" s="83"/>
      <c r="AJ609" s="83"/>
      <c r="AK609" s="83"/>
      <c r="AL609" s="83"/>
      <c r="AM609" s="83"/>
    </row>
    <row r="610" ht="13.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3"/>
      <c r="O610" s="83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  <c r="AB610" s="83"/>
      <c r="AC610" s="83"/>
      <c r="AD610" s="83"/>
      <c r="AE610" s="83"/>
      <c r="AF610" s="83"/>
      <c r="AG610" s="83"/>
      <c r="AH610" s="83"/>
      <c r="AI610" s="83"/>
      <c r="AJ610" s="83"/>
      <c r="AK610" s="83"/>
      <c r="AL610" s="83"/>
      <c r="AM610" s="83"/>
    </row>
    <row r="611" ht="13.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3"/>
      <c r="O611" s="83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  <c r="AB611" s="83"/>
      <c r="AC611" s="83"/>
      <c r="AD611" s="83"/>
      <c r="AE611" s="83"/>
      <c r="AF611" s="83"/>
      <c r="AG611" s="83"/>
      <c r="AH611" s="83"/>
      <c r="AI611" s="83"/>
      <c r="AJ611" s="83"/>
      <c r="AK611" s="83"/>
      <c r="AL611" s="83"/>
      <c r="AM611" s="83"/>
    </row>
    <row r="612" ht="13.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3"/>
      <c r="O612" s="83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  <c r="AB612" s="83"/>
      <c r="AC612" s="83"/>
      <c r="AD612" s="83"/>
      <c r="AE612" s="83"/>
      <c r="AF612" s="83"/>
      <c r="AG612" s="83"/>
      <c r="AH612" s="83"/>
      <c r="AI612" s="83"/>
      <c r="AJ612" s="83"/>
      <c r="AK612" s="83"/>
      <c r="AL612" s="83"/>
      <c r="AM612" s="83"/>
    </row>
    <row r="613" ht="13.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3"/>
      <c r="O613" s="83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  <c r="AB613" s="83"/>
      <c r="AC613" s="83"/>
      <c r="AD613" s="83"/>
      <c r="AE613" s="83"/>
      <c r="AF613" s="83"/>
      <c r="AG613" s="83"/>
      <c r="AH613" s="83"/>
      <c r="AI613" s="83"/>
      <c r="AJ613" s="83"/>
      <c r="AK613" s="83"/>
      <c r="AL613" s="83"/>
      <c r="AM613" s="83"/>
    </row>
    <row r="614" ht="13.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3"/>
      <c r="O614" s="83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  <c r="AB614" s="83"/>
      <c r="AC614" s="83"/>
      <c r="AD614" s="83"/>
      <c r="AE614" s="83"/>
      <c r="AF614" s="83"/>
      <c r="AG614" s="83"/>
      <c r="AH614" s="83"/>
      <c r="AI614" s="83"/>
      <c r="AJ614" s="83"/>
      <c r="AK614" s="83"/>
      <c r="AL614" s="83"/>
      <c r="AM614" s="83"/>
    </row>
    <row r="615" ht="13.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3"/>
      <c r="O615" s="83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  <c r="AB615" s="83"/>
      <c r="AC615" s="83"/>
      <c r="AD615" s="83"/>
      <c r="AE615" s="83"/>
      <c r="AF615" s="83"/>
      <c r="AG615" s="83"/>
      <c r="AH615" s="83"/>
      <c r="AI615" s="83"/>
      <c r="AJ615" s="83"/>
      <c r="AK615" s="83"/>
      <c r="AL615" s="83"/>
      <c r="AM615" s="83"/>
    </row>
    <row r="616" ht="13.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3"/>
      <c r="O616" s="83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  <c r="AB616" s="83"/>
      <c r="AC616" s="83"/>
      <c r="AD616" s="83"/>
      <c r="AE616" s="83"/>
      <c r="AF616" s="83"/>
      <c r="AG616" s="83"/>
      <c r="AH616" s="83"/>
      <c r="AI616" s="83"/>
      <c r="AJ616" s="83"/>
      <c r="AK616" s="83"/>
      <c r="AL616" s="83"/>
      <c r="AM616" s="83"/>
    </row>
    <row r="617" ht="13.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3"/>
      <c r="O617" s="83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  <c r="AB617" s="83"/>
      <c r="AC617" s="83"/>
      <c r="AD617" s="83"/>
      <c r="AE617" s="83"/>
      <c r="AF617" s="83"/>
      <c r="AG617" s="83"/>
      <c r="AH617" s="83"/>
      <c r="AI617" s="83"/>
      <c r="AJ617" s="83"/>
      <c r="AK617" s="83"/>
      <c r="AL617" s="83"/>
      <c r="AM617" s="83"/>
    </row>
    <row r="618" ht="13.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3"/>
      <c r="O618" s="83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  <c r="AB618" s="83"/>
      <c r="AC618" s="83"/>
      <c r="AD618" s="83"/>
      <c r="AE618" s="83"/>
      <c r="AF618" s="83"/>
      <c r="AG618" s="83"/>
      <c r="AH618" s="83"/>
      <c r="AI618" s="83"/>
      <c r="AJ618" s="83"/>
      <c r="AK618" s="83"/>
      <c r="AL618" s="83"/>
      <c r="AM618" s="83"/>
    </row>
    <row r="619" ht="13.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3"/>
      <c r="O619" s="83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  <c r="AB619" s="83"/>
      <c r="AC619" s="83"/>
      <c r="AD619" s="83"/>
      <c r="AE619" s="83"/>
      <c r="AF619" s="83"/>
      <c r="AG619" s="83"/>
      <c r="AH619" s="83"/>
      <c r="AI619" s="83"/>
      <c r="AJ619" s="83"/>
      <c r="AK619" s="83"/>
      <c r="AL619" s="83"/>
      <c r="AM619" s="83"/>
    </row>
    <row r="620" ht="13.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3"/>
      <c r="O620" s="83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  <c r="AB620" s="83"/>
      <c r="AC620" s="83"/>
      <c r="AD620" s="83"/>
      <c r="AE620" s="83"/>
      <c r="AF620" s="83"/>
      <c r="AG620" s="83"/>
      <c r="AH620" s="83"/>
      <c r="AI620" s="83"/>
      <c r="AJ620" s="83"/>
      <c r="AK620" s="83"/>
      <c r="AL620" s="83"/>
      <c r="AM620" s="83"/>
    </row>
    <row r="621" ht="13.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3"/>
      <c r="O621" s="83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  <c r="AB621" s="83"/>
      <c r="AC621" s="83"/>
      <c r="AD621" s="83"/>
      <c r="AE621" s="83"/>
      <c r="AF621" s="83"/>
      <c r="AG621" s="83"/>
      <c r="AH621" s="83"/>
      <c r="AI621" s="83"/>
      <c r="AJ621" s="83"/>
      <c r="AK621" s="83"/>
      <c r="AL621" s="83"/>
      <c r="AM621" s="83"/>
    </row>
    <row r="622" ht="13.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3"/>
      <c r="O622" s="83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  <c r="AB622" s="83"/>
      <c r="AC622" s="83"/>
      <c r="AD622" s="83"/>
      <c r="AE622" s="83"/>
      <c r="AF622" s="83"/>
      <c r="AG622" s="83"/>
      <c r="AH622" s="83"/>
      <c r="AI622" s="83"/>
      <c r="AJ622" s="83"/>
      <c r="AK622" s="83"/>
      <c r="AL622" s="83"/>
      <c r="AM622" s="83"/>
    </row>
    <row r="623" ht="13.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3"/>
      <c r="O623" s="83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  <c r="AB623" s="83"/>
      <c r="AC623" s="83"/>
      <c r="AD623" s="83"/>
      <c r="AE623" s="83"/>
      <c r="AF623" s="83"/>
      <c r="AG623" s="83"/>
      <c r="AH623" s="83"/>
      <c r="AI623" s="83"/>
      <c r="AJ623" s="83"/>
      <c r="AK623" s="83"/>
      <c r="AL623" s="83"/>
      <c r="AM623" s="83"/>
    </row>
    <row r="624" ht="13.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3"/>
      <c r="O624" s="83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  <c r="AB624" s="83"/>
      <c r="AC624" s="83"/>
      <c r="AD624" s="83"/>
      <c r="AE624" s="83"/>
      <c r="AF624" s="83"/>
      <c r="AG624" s="83"/>
      <c r="AH624" s="83"/>
      <c r="AI624" s="83"/>
      <c r="AJ624" s="83"/>
      <c r="AK624" s="83"/>
      <c r="AL624" s="83"/>
      <c r="AM624" s="83"/>
    </row>
    <row r="625" ht="13.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3"/>
      <c r="O625" s="83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  <c r="AB625" s="83"/>
      <c r="AC625" s="83"/>
      <c r="AD625" s="83"/>
      <c r="AE625" s="83"/>
      <c r="AF625" s="83"/>
      <c r="AG625" s="83"/>
      <c r="AH625" s="83"/>
      <c r="AI625" s="83"/>
      <c r="AJ625" s="83"/>
      <c r="AK625" s="83"/>
      <c r="AL625" s="83"/>
      <c r="AM625" s="83"/>
    </row>
    <row r="626" ht="13.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3"/>
      <c r="O626" s="83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  <c r="AB626" s="83"/>
      <c r="AC626" s="83"/>
      <c r="AD626" s="83"/>
      <c r="AE626" s="83"/>
      <c r="AF626" s="83"/>
      <c r="AG626" s="83"/>
      <c r="AH626" s="83"/>
      <c r="AI626" s="83"/>
      <c r="AJ626" s="83"/>
      <c r="AK626" s="83"/>
      <c r="AL626" s="83"/>
      <c r="AM626" s="83"/>
    </row>
    <row r="627" ht="13.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3"/>
      <c r="O627" s="83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  <c r="AB627" s="83"/>
      <c r="AC627" s="83"/>
      <c r="AD627" s="83"/>
      <c r="AE627" s="83"/>
      <c r="AF627" s="83"/>
      <c r="AG627" s="83"/>
      <c r="AH627" s="83"/>
      <c r="AI627" s="83"/>
      <c r="AJ627" s="83"/>
      <c r="AK627" s="83"/>
      <c r="AL627" s="83"/>
      <c r="AM627" s="83"/>
    </row>
    <row r="628" ht="13.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3"/>
      <c r="O628" s="83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  <c r="AB628" s="83"/>
      <c r="AC628" s="83"/>
      <c r="AD628" s="83"/>
      <c r="AE628" s="83"/>
      <c r="AF628" s="83"/>
      <c r="AG628" s="83"/>
      <c r="AH628" s="83"/>
      <c r="AI628" s="83"/>
      <c r="AJ628" s="83"/>
      <c r="AK628" s="83"/>
      <c r="AL628" s="83"/>
      <c r="AM628" s="83"/>
    </row>
    <row r="629" ht="13.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3"/>
      <c r="O629" s="83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  <c r="AB629" s="83"/>
      <c r="AC629" s="83"/>
      <c r="AD629" s="83"/>
      <c r="AE629" s="83"/>
      <c r="AF629" s="83"/>
      <c r="AG629" s="83"/>
      <c r="AH629" s="83"/>
      <c r="AI629" s="83"/>
      <c r="AJ629" s="83"/>
      <c r="AK629" s="83"/>
      <c r="AL629" s="83"/>
      <c r="AM629" s="83"/>
    </row>
    <row r="630" ht="13.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3"/>
      <c r="O630" s="83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  <c r="AB630" s="83"/>
      <c r="AC630" s="83"/>
      <c r="AD630" s="83"/>
      <c r="AE630" s="83"/>
      <c r="AF630" s="83"/>
      <c r="AG630" s="83"/>
      <c r="AH630" s="83"/>
      <c r="AI630" s="83"/>
      <c r="AJ630" s="83"/>
      <c r="AK630" s="83"/>
      <c r="AL630" s="83"/>
      <c r="AM630" s="83"/>
    </row>
    <row r="631" ht="13.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3"/>
      <c r="O631" s="83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  <c r="AB631" s="83"/>
      <c r="AC631" s="83"/>
      <c r="AD631" s="83"/>
      <c r="AE631" s="83"/>
      <c r="AF631" s="83"/>
      <c r="AG631" s="83"/>
      <c r="AH631" s="83"/>
      <c r="AI631" s="83"/>
      <c r="AJ631" s="83"/>
      <c r="AK631" s="83"/>
      <c r="AL631" s="83"/>
      <c r="AM631" s="83"/>
    </row>
    <row r="632" ht="13.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3"/>
      <c r="O632" s="83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  <c r="AB632" s="83"/>
      <c r="AC632" s="83"/>
      <c r="AD632" s="83"/>
      <c r="AE632" s="83"/>
      <c r="AF632" s="83"/>
      <c r="AG632" s="83"/>
      <c r="AH632" s="83"/>
      <c r="AI632" s="83"/>
      <c r="AJ632" s="83"/>
      <c r="AK632" s="83"/>
      <c r="AL632" s="83"/>
      <c r="AM632" s="83"/>
    </row>
    <row r="633" ht="13.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3"/>
      <c r="O633" s="83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  <c r="AB633" s="83"/>
      <c r="AC633" s="83"/>
      <c r="AD633" s="83"/>
      <c r="AE633" s="83"/>
      <c r="AF633" s="83"/>
      <c r="AG633" s="83"/>
      <c r="AH633" s="83"/>
      <c r="AI633" s="83"/>
      <c r="AJ633" s="83"/>
      <c r="AK633" s="83"/>
      <c r="AL633" s="83"/>
      <c r="AM633" s="83"/>
    </row>
    <row r="634" ht="13.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3"/>
      <c r="O634" s="83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  <c r="AB634" s="83"/>
      <c r="AC634" s="83"/>
      <c r="AD634" s="83"/>
      <c r="AE634" s="83"/>
      <c r="AF634" s="83"/>
      <c r="AG634" s="83"/>
      <c r="AH634" s="83"/>
      <c r="AI634" s="83"/>
      <c r="AJ634" s="83"/>
      <c r="AK634" s="83"/>
      <c r="AL634" s="83"/>
      <c r="AM634" s="83"/>
    </row>
    <row r="635" ht="13.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3"/>
      <c r="O635" s="83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  <c r="AB635" s="83"/>
      <c r="AC635" s="83"/>
      <c r="AD635" s="83"/>
      <c r="AE635" s="83"/>
      <c r="AF635" s="83"/>
      <c r="AG635" s="83"/>
      <c r="AH635" s="83"/>
      <c r="AI635" s="83"/>
      <c r="AJ635" s="83"/>
      <c r="AK635" s="83"/>
      <c r="AL635" s="83"/>
      <c r="AM635" s="83"/>
    </row>
    <row r="636" ht="13.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3"/>
      <c r="O636" s="83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  <c r="AB636" s="83"/>
      <c r="AC636" s="83"/>
      <c r="AD636" s="83"/>
      <c r="AE636" s="83"/>
      <c r="AF636" s="83"/>
      <c r="AG636" s="83"/>
      <c r="AH636" s="83"/>
      <c r="AI636" s="83"/>
      <c r="AJ636" s="83"/>
      <c r="AK636" s="83"/>
      <c r="AL636" s="83"/>
      <c r="AM636" s="83"/>
    </row>
    <row r="637" ht="13.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3"/>
      <c r="O637" s="83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  <c r="AB637" s="83"/>
      <c r="AC637" s="83"/>
      <c r="AD637" s="83"/>
      <c r="AE637" s="83"/>
      <c r="AF637" s="83"/>
      <c r="AG637" s="83"/>
      <c r="AH637" s="83"/>
      <c r="AI637" s="83"/>
      <c r="AJ637" s="83"/>
      <c r="AK637" s="83"/>
      <c r="AL637" s="83"/>
      <c r="AM637" s="83"/>
    </row>
    <row r="638" ht="13.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3"/>
      <c r="O638" s="83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  <c r="AB638" s="83"/>
      <c r="AC638" s="83"/>
      <c r="AD638" s="83"/>
      <c r="AE638" s="83"/>
      <c r="AF638" s="83"/>
      <c r="AG638" s="83"/>
      <c r="AH638" s="83"/>
      <c r="AI638" s="83"/>
      <c r="AJ638" s="83"/>
      <c r="AK638" s="83"/>
      <c r="AL638" s="83"/>
      <c r="AM638" s="83"/>
    </row>
    <row r="639" ht="13.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3"/>
      <c r="O639" s="83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  <c r="AB639" s="83"/>
      <c r="AC639" s="83"/>
      <c r="AD639" s="83"/>
      <c r="AE639" s="83"/>
      <c r="AF639" s="83"/>
      <c r="AG639" s="83"/>
      <c r="AH639" s="83"/>
      <c r="AI639" s="83"/>
      <c r="AJ639" s="83"/>
      <c r="AK639" s="83"/>
      <c r="AL639" s="83"/>
      <c r="AM639" s="83"/>
    </row>
    <row r="640" ht="13.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3"/>
      <c r="O640" s="83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  <c r="AB640" s="83"/>
      <c r="AC640" s="83"/>
      <c r="AD640" s="83"/>
      <c r="AE640" s="83"/>
      <c r="AF640" s="83"/>
      <c r="AG640" s="83"/>
      <c r="AH640" s="83"/>
      <c r="AI640" s="83"/>
      <c r="AJ640" s="83"/>
      <c r="AK640" s="83"/>
      <c r="AL640" s="83"/>
      <c r="AM640" s="83"/>
    </row>
    <row r="641" ht="13.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3"/>
      <c r="O641" s="83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  <c r="AB641" s="83"/>
      <c r="AC641" s="83"/>
      <c r="AD641" s="83"/>
      <c r="AE641" s="83"/>
      <c r="AF641" s="83"/>
      <c r="AG641" s="83"/>
      <c r="AH641" s="83"/>
      <c r="AI641" s="83"/>
      <c r="AJ641" s="83"/>
      <c r="AK641" s="83"/>
      <c r="AL641" s="83"/>
      <c r="AM641" s="83"/>
    </row>
    <row r="642" ht="13.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3"/>
      <c r="O642" s="83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  <c r="AB642" s="83"/>
      <c r="AC642" s="83"/>
      <c r="AD642" s="83"/>
      <c r="AE642" s="83"/>
      <c r="AF642" s="83"/>
      <c r="AG642" s="83"/>
      <c r="AH642" s="83"/>
      <c r="AI642" s="83"/>
      <c r="AJ642" s="83"/>
      <c r="AK642" s="83"/>
      <c r="AL642" s="83"/>
      <c r="AM642" s="83"/>
    </row>
    <row r="643" ht="13.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3"/>
      <c r="O643" s="83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  <c r="AB643" s="83"/>
      <c r="AC643" s="83"/>
      <c r="AD643" s="83"/>
      <c r="AE643" s="83"/>
      <c r="AF643" s="83"/>
      <c r="AG643" s="83"/>
      <c r="AH643" s="83"/>
      <c r="AI643" s="83"/>
      <c r="AJ643" s="83"/>
      <c r="AK643" s="83"/>
      <c r="AL643" s="83"/>
      <c r="AM643" s="83"/>
    </row>
    <row r="644" ht="13.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3"/>
      <c r="O644" s="83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  <c r="AB644" s="83"/>
      <c r="AC644" s="83"/>
      <c r="AD644" s="83"/>
      <c r="AE644" s="83"/>
      <c r="AF644" s="83"/>
      <c r="AG644" s="83"/>
      <c r="AH644" s="83"/>
      <c r="AI644" s="83"/>
      <c r="AJ644" s="83"/>
      <c r="AK644" s="83"/>
      <c r="AL644" s="83"/>
      <c r="AM644" s="83"/>
    </row>
    <row r="645" ht="13.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3"/>
      <c r="O645" s="83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  <c r="AB645" s="83"/>
      <c r="AC645" s="83"/>
      <c r="AD645" s="83"/>
      <c r="AE645" s="83"/>
      <c r="AF645" s="83"/>
      <c r="AG645" s="83"/>
      <c r="AH645" s="83"/>
      <c r="AI645" s="83"/>
      <c r="AJ645" s="83"/>
      <c r="AK645" s="83"/>
      <c r="AL645" s="83"/>
      <c r="AM645" s="83"/>
    </row>
    <row r="646" ht="13.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3"/>
      <c r="O646" s="83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  <c r="AB646" s="83"/>
      <c r="AC646" s="83"/>
      <c r="AD646" s="83"/>
      <c r="AE646" s="83"/>
      <c r="AF646" s="83"/>
      <c r="AG646" s="83"/>
      <c r="AH646" s="83"/>
      <c r="AI646" s="83"/>
      <c r="AJ646" s="83"/>
      <c r="AK646" s="83"/>
      <c r="AL646" s="83"/>
      <c r="AM646" s="83"/>
    </row>
    <row r="647" ht="13.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3"/>
      <c r="O647" s="83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  <c r="AB647" s="83"/>
      <c r="AC647" s="83"/>
      <c r="AD647" s="83"/>
      <c r="AE647" s="83"/>
      <c r="AF647" s="83"/>
      <c r="AG647" s="83"/>
      <c r="AH647" s="83"/>
      <c r="AI647" s="83"/>
      <c r="AJ647" s="83"/>
      <c r="AK647" s="83"/>
      <c r="AL647" s="83"/>
      <c r="AM647" s="83"/>
    </row>
    <row r="648" ht="13.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3"/>
      <c r="O648" s="83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  <c r="AB648" s="83"/>
      <c r="AC648" s="83"/>
      <c r="AD648" s="83"/>
      <c r="AE648" s="83"/>
      <c r="AF648" s="83"/>
      <c r="AG648" s="83"/>
      <c r="AH648" s="83"/>
      <c r="AI648" s="83"/>
      <c r="AJ648" s="83"/>
      <c r="AK648" s="83"/>
      <c r="AL648" s="83"/>
      <c r="AM648" s="83"/>
    </row>
    <row r="649" ht="13.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3"/>
      <c r="O649" s="83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  <c r="AB649" s="83"/>
      <c r="AC649" s="83"/>
      <c r="AD649" s="83"/>
      <c r="AE649" s="83"/>
      <c r="AF649" s="83"/>
      <c r="AG649" s="83"/>
      <c r="AH649" s="83"/>
      <c r="AI649" s="83"/>
      <c r="AJ649" s="83"/>
      <c r="AK649" s="83"/>
      <c r="AL649" s="83"/>
      <c r="AM649" s="83"/>
    </row>
    <row r="650" ht="13.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3"/>
      <c r="O650" s="83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  <c r="AB650" s="83"/>
      <c r="AC650" s="83"/>
      <c r="AD650" s="83"/>
      <c r="AE650" s="83"/>
      <c r="AF650" s="83"/>
      <c r="AG650" s="83"/>
      <c r="AH650" s="83"/>
      <c r="AI650" s="83"/>
      <c r="AJ650" s="83"/>
      <c r="AK650" s="83"/>
      <c r="AL650" s="83"/>
      <c r="AM650" s="83"/>
    </row>
    <row r="651" ht="13.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3"/>
      <c r="O651" s="83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  <c r="AB651" s="83"/>
      <c r="AC651" s="83"/>
      <c r="AD651" s="83"/>
      <c r="AE651" s="83"/>
      <c r="AF651" s="83"/>
      <c r="AG651" s="83"/>
      <c r="AH651" s="83"/>
      <c r="AI651" s="83"/>
      <c r="AJ651" s="83"/>
      <c r="AK651" s="83"/>
      <c r="AL651" s="83"/>
      <c r="AM651" s="83"/>
    </row>
    <row r="652" ht="13.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3"/>
      <c r="O652" s="83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  <c r="AB652" s="83"/>
      <c r="AC652" s="83"/>
      <c r="AD652" s="83"/>
      <c r="AE652" s="83"/>
      <c r="AF652" s="83"/>
      <c r="AG652" s="83"/>
      <c r="AH652" s="83"/>
      <c r="AI652" s="83"/>
      <c r="AJ652" s="83"/>
      <c r="AK652" s="83"/>
      <c r="AL652" s="83"/>
      <c r="AM652" s="83"/>
    </row>
    <row r="653" ht="13.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3"/>
      <c r="O653" s="83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  <c r="AB653" s="83"/>
      <c r="AC653" s="83"/>
      <c r="AD653" s="83"/>
      <c r="AE653" s="83"/>
      <c r="AF653" s="83"/>
      <c r="AG653" s="83"/>
      <c r="AH653" s="83"/>
      <c r="AI653" s="83"/>
      <c r="AJ653" s="83"/>
      <c r="AK653" s="83"/>
      <c r="AL653" s="83"/>
      <c r="AM653" s="83"/>
    </row>
    <row r="654" ht="13.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3"/>
      <c r="O654" s="83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  <c r="AB654" s="83"/>
      <c r="AC654" s="83"/>
      <c r="AD654" s="83"/>
      <c r="AE654" s="83"/>
      <c r="AF654" s="83"/>
      <c r="AG654" s="83"/>
      <c r="AH654" s="83"/>
      <c r="AI654" s="83"/>
      <c r="AJ654" s="83"/>
      <c r="AK654" s="83"/>
      <c r="AL654" s="83"/>
      <c r="AM654" s="83"/>
    </row>
    <row r="655" ht="13.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3"/>
      <c r="O655" s="83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  <c r="AB655" s="83"/>
      <c r="AC655" s="83"/>
      <c r="AD655" s="83"/>
      <c r="AE655" s="83"/>
      <c r="AF655" s="83"/>
      <c r="AG655" s="83"/>
      <c r="AH655" s="83"/>
      <c r="AI655" s="83"/>
      <c r="AJ655" s="83"/>
      <c r="AK655" s="83"/>
      <c r="AL655" s="83"/>
      <c r="AM655" s="83"/>
    </row>
    <row r="656" ht="13.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3"/>
      <c r="O656" s="83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  <c r="AB656" s="83"/>
      <c r="AC656" s="83"/>
      <c r="AD656" s="83"/>
      <c r="AE656" s="83"/>
      <c r="AF656" s="83"/>
      <c r="AG656" s="83"/>
      <c r="AH656" s="83"/>
      <c r="AI656" s="83"/>
      <c r="AJ656" s="83"/>
      <c r="AK656" s="83"/>
      <c r="AL656" s="83"/>
      <c r="AM656" s="83"/>
    </row>
    <row r="657" ht="13.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3"/>
      <c r="O657" s="83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  <c r="AB657" s="83"/>
      <c r="AC657" s="83"/>
      <c r="AD657" s="83"/>
      <c r="AE657" s="83"/>
      <c r="AF657" s="83"/>
      <c r="AG657" s="83"/>
      <c r="AH657" s="83"/>
      <c r="AI657" s="83"/>
      <c r="AJ657" s="83"/>
      <c r="AK657" s="83"/>
      <c r="AL657" s="83"/>
      <c r="AM657" s="83"/>
    </row>
    <row r="658" ht="13.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3"/>
      <c r="O658" s="83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  <c r="AB658" s="83"/>
      <c r="AC658" s="83"/>
      <c r="AD658" s="83"/>
      <c r="AE658" s="83"/>
      <c r="AF658" s="83"/>
      <c r="AG658" s="83"/>
      <c r="AH658" s="83"/>
      <c r="AI658" s="83"/>
      <c r="AJ658" s="83"/>
      <c r="AK658" s="83"/>
      <c r="AL658" s="83"/>
      <c r="AM658" s="83"/>
    </row>
    <row r="659" ht="13.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3"/>
      <c r="O659" s="83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  <c r="AB659" s="83"/>
      <c r="AC659" s="83"/>
      <c r="AD659" s="83"/>
      <c r="AE659" s="83"/>
      <c r="AF659" s="83"/>
      <c r="AG659" s="83"/>
      <c r="AH659" s="83"/>
      <c r="AI659" s="83"/>
      <c r="AJ659" s="83"/>
      <c r="AK659" s="83"/>
      <c r="AL659" s="83"/>
      <c r="AM659" s="83"/>
    </row>
    <row r="660" ht="13.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3"/>
      <c r="O660" s="83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  <c r="AB660" s="83"/>
      <c r="AC660" s="83"/>
      <c r="AD660" s="83"/>
      <c r="AE660" s="83"/>
      <c r="AF660" s="83"/>
      <c r="AG660" s="83"/>
      <c r="AH660" s="83"/>
      <c r="AI660" s="83"/>
      <c r="AJ660" s="83"/>
      <c r="AK660" s="83"/>
      <c r="AL660" s="83"/>
      <c r="AM660" s="83"/>
    </row>
    <row r="661" ht="13.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3"/>
      <c r="O661" s="83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  <c r="AB661" s="83"/>
      <c r="AC661" s="83"/>
      <c r="AD661" s="83"/>
      <c r="AE661" s="83"/>
      <c r="AF661" s="83"/>
      <c r="AG661" s="83"/>
      <c r="AH661" s="83"/>
      <c r="AI661" s="83"/>
      <c r="AJ661" s="83"/>
      <c r="AK661" s="83"/>
      <c r="AL661" s="83"/>
      <c r="AM661" s="83"/>
    </row>
    <row r="662" ht="13.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3"/>
      <c r="O662" s="83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  <c r="AB662" s="83"/>
      <c r="AC662" s="83"/>
      <c r="AD662" s="83"/>
      <c r="AE662" s="83"/>
      <c r="AF662" s="83"/>
      <c r="AG662" s="83"/>
      <c r="AH662" s="83"/>
      <c r="AI662" s="83"/>
      <c r="AJ662" s="83"/>
      <c r="AK662" s="83"/>
      <c r="AL662" s="83"/>
      <c r="AM662" s="83"/>
    </row>
    <row r="663" ht="13.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3"/>
      <c r="O663" s="83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  <c r="AB663" s="83"/>
      <c r="AC663" s="83"/>
      <c r="AD663" s="83"/>
      <c r="AE663" s="83"/>
      <c r="AF663" s="83"/>
      <c r="AG663" s="83"/>
      <c r="AH663" s="83"/>
      <c r="AI663" s="83"/>
      <c r="AJ663" s="83"/>
      <c r="AK663" s="83"/>
      <c r="AL663" s="83"/>
      <c r="AM663" s="83"/>
    </row>
    <row r="664" ht="13.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3"/>
      <c r="O664" s="83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  <c r="AB664" s="83"/>
      <c r="AC664" s="83"/>
      <c r="AD664" s="83"/>
      <c r="AE664" s="83"/>
      <c r="AF664" s="83"/>
      <c r="AG664" s="83"/>
      <c r="AH664" s="83"/>
      <c r="AI664" s="83"/>
      <c r="AJ664" s="83"/>
      <c r="AK664" s="83"/>
      <c r="AL664" s="83"/>
      <c r="AM664" s="83"/>
    </row>
    <row r="665" ht="13.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3"/>
      <c r="O665" s="83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  <c r="AB665" s="83"/>
      <c r="AC665" s="83"/>
      <c r="AD665" s="83"/>
      <c r="AE665" s="83"/>
      <c r="AF665" s="83"/>
      <c r="AG665" s="83"/>
      <c r="AH665" s="83"/>
      <c r="AI665" s="83"/>
      <c r="AJ665" s="83"/>
      <c r="AK665" s="83"/>
      <c r="AL665" s="83"/>
      <c r="AM665" s="83"/>
    </row>
    <row r="666" ht="13.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3"/>
      <c r="O666" s="83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  <c r="AB666" s="83"/>
      <c r="AC666" s="83"/>
      <c r="AD666" s="83"/>
      <c r="AE666" s="83"/>
      <c r="AF666" s="83"/>
      <c r="AG666" s="83"/>
      <c r="AH666" s="83"/>
      <c r="AI666" s="83"/>
      <c r="AJ666" s="83"/>
      <c r="AK666" s="83"/>
      <c r="AL666" s="83"/>
      <c r="AM666" s="83"/>
    </row>
    <row r="667" ht="13.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3"/>
      <c r="O667" s="83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  <c r="AB667" s="83"/>
      <c r="AC667" s="83"/>
      <c r="AD667" s="83"/>
      <c r="AE667" s="83"/>
      <c r="AF667" s="83"/>
      <c r="AG667" s="83"/>
      <c r="AH667" s="83"/>
      <c r="AI667" s="83"/>
      <c r="AJ667" s="83"/>
      <c r="AK667" s="83"/>
      <c r="AL667" s="83"/>
      <c r="AM667" s="83"/>
    </row>
    <row r="668" ht="13.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3"/>
      <c r="O668" s="83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  <c r="AB668" s="83"/>
      <c r="AC668" s="83"/>
      <c r="AD668" s="83"/>
      <c r="AE668" s="83"/>
      <c r="AF668" s="83"/>
      <c r="AG668" s="83"/>
      <c r="AH668" s="83"/>
      <c r="AI668" s="83"/>
      <c r="AJ668" s="83"/>
      <c r="AK668" s="83"/>
      <c r="AL668" s="83"/>
      <c r="AM668" s="83"/>
    </row>
    <row r="669" ht="13.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3"/>
      <c r="O669" s="83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  <c r="AB669" s="83"/>
      <c r="AC669" s="83"/>
      <c r="AD669" s="83"/>
      <c r="AE669" s="83"/>
      <c r="AF669" s="83"/>
      <c r="AG669" s="83"/>
      <c r="AH669" s="83"/>
      <c r="AI669" s="83"/>
      <c r="AJ669" s="83"/>
      <c r="AK669" s="83"/>
      <c r="AL669" s="83"/>
      <c r="AM669" s="83"/>
    </row>
    <row r="670" ht="13.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3"/>
      <c r="O670" s="83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  <c r="AB670" s="83"/>
      <c r="AC670" s="83"/>
      <c r="AD670" s="83"/>
      <c r="AE670" s="83"/>
      <c r="AF670" s="83"/>
      <c r="AG670" s="83"/>
      <c r="AH670" s="83"/>
      <c r="AI670" s="83"/>
      <c r="AJ670" s="83"/>
      <c r="AK670" s="83"/>
      <c r="AL670" s="83"/>
      <c r="AM670" s="83"/>
    </row>
    <row r="671" ht="13.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3"/>
      <c r="O671" s="83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  <c r="AB671" s="83"/>
      <c r="AC671" s="83"/>
      <c r="AD671" s="83"/>
      <c r="AE671" s="83"/>
      <c r="AF671" s="83"/>
      <c r="AG671" s="83"/>
      <c r="AH671" s="83"/>
      <c r="AI671" s="83"/>
      <c r="AJ671" s="83"/>
      <c r="AK671" s="83"/>
      <c r="AL671" s="83"/>
      <c r="AM671" s="83"/>
    </row>
    <row r="672" ht="13.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3"/>
      <c r="O672" s="83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  <c r="AB672" s="83"/>
      <c r="AC672" s="83"/>
      <c r="AD672" s="83"/>
      <c r="AE672" s="83"/>
      <c r="AF672" s="83"/>
      <c r="AG672" s="83"/>
      <c r="AH672" s="83"/>
      <c r="AI672" s="83"/>
      <c r="AJ672" s="83"/>
      <c r="AK672" s="83"/>
      <c r="AL672" s="83"/>
      <c r="AM672" s="83"/>
    </row>
    <row r="673" ht="13.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3"/>
      <c r="O673" s="83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  <c r="AB673" s="83"/>
      <c r="AC673" s="83"/>
      <c r="AD673" s="83"/>
      <c r="AE673" s="83"/>
      <c r="AF673" s="83"/>
      <c r="AG673" s="83"/>
      <c r="AH673" s="83"/>
      <c r="AI673" s="83"/>
      <c r="AJ673" s="83"/>
      <c r="AK673" s="83"/>
      <c r="AL673" s="83"/>
      <c r="AM673" s="83"/>
    </row>
    <row r="674" ht="13.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3"/>
      <c r="O674" s="83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  <c r="AB674" s="83"/>
      <c r="AC674" s="83"/>
      <c r="AD674" s="83"/>
      <c r="AE674" s="83"/>
      <c r="AF674" s="83"/>
      <c r="AG674" s="83"/>
      <c r="AH674" s="83"/>
      <c r="AI674" s="83"/>
      <c r="AJ674" s="83"/>
      <c r="AK674" s="83"/>
      <c r="AL674" s="83"/>
      <c r="AM674" s="83"/>
    </row>
    <row r="675" ht="13.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3"/>
      <c r="O675" s="83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  <c r="AB675" s="83"/>
      <c r="AC675" s="83"/>
      <c r="AD675" s="83"/>
      <c r="AE675" s="83"/>
      <c r="AF675" s="83"/>
      <c r="AG675" s="83"/>
      <c r="AH675" s="83"/>
      <c r="AI675" s="83"/>
      <c r="AJ675" s="83"/>
      <c r="AK675" s="83"/>
      <c r="AL675" s="83"/>
      <c r="AM675" s="83"/>
    </row>
    <row r="676" ht="13.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3"/>
      <c r="O676" s="83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  <c r="AB676" s="83"/>
      <c r="AC676" s="83"/>
      <c r="AD676" s="83"/>
      <c r="AE676" s="83"/>
      <c r="AF676" s="83"/>
      <c r="AG676" s="83"/>
      <c r="AH676" s="83"/>
      <c r="AI676" s="83"/>
      <c r="AJ676" s="83"/>
      <c r="AK676" s="83"/>
      <c r="AL676" s="83"/>
      <c r="AM676" s="83"/>
    </row>
    <row r="677" ht="13.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3"/>
      <c r="O677" s="83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  <c r="AB677" s="83"/>
      <c r="AC677" s="83"/>
      <c r="AD677" s="83"/>
      <c r="AE677" s="83"/>
      <c r="AF677" s="83"/>
      <c r="AG677" s="83"/>
      <c r="AH677" s="83"/>
      <c r="AI677" s="83"/>
      <c r="AJ677" s="83"/>
      <c r="AK677" s="83"/>
      <c r="AL677" s="83"/>
      <c r="AM677" s="83"/>
    </row>
    <row r="678" ht="13.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3"/>
      <c r="O678" s="83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  <c r="AB678" s="83"/>
      <c r="AC678" s="83"/>
      <c r="AD678" s="83"/>
      <c r="AE678" s="83"/>
      <c r="AF678" s="83"/>
      <c r="AG678" s="83"/>
      <c r="AH678" s="83"/>
      <c r="AI678" s="83"/>
      <c r="AJ678" s="83"/>
      <c r="AK678" s="83"/>
      <c r="AL678" s="83"/>
      <c r="AM678" s="83"/>
    </row>
    <row r="679" ht="13.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3"/>
      <c r="O679" s="83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  <c r="AB679" s="83"/>
      <c r="AC679" s="83"/>
      <c r="AD679" s="83"/>
      <c r="AE679" s="83"/>
      <c r="AF679" s="83"/>
      <c r="AG679" s="83"/>
      <c r="AH679" s="83"/>
      <c r="AI679" s="83"/>
      <c r="AJ679" s="83"/>
      <c r="AK679" s="83"/>
      <c r="AL679" s="83"/>
      <c r="AM679" s="83"/>
    </row>
    <row r="680" ht="13.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3"/>
      <c r="O680" s="83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  <c r="AB680" s="83"/>
      <c r="AC680" s="83"/>
      <c r="AD680" s="83"/>
      <c r="AE680" s="83"/>
      <c r="AF680" s="83"/>
      <c r="AG680" s="83"/>
      <c r="AH680" s="83"/>
      <c r="AI680" s="83"/>
      <c r="AJ680" s="83"/>
      <c r="AK680" s="83"/>
      <c r="AL680" s="83"/>
      <c r="AM680" s="83"/>
    </row>
    <row r="681" ht="13.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3"/>
      <c r="O681" s="83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  <c r="AB681" s="83"/>
      <c r="AC681" s="83"/>
      <c r="AD681" s="83"/>
      <c r="AE681" s="83"/>
      <c r="AF681" s="83"/>
      <c r="AG681" s="83"/>
      <c r="AH681" s="83"/>
      <c r="AI681" s="83"/>
      <c r="AJ681" s="83"/>
      <c r="AK681" s="83"/>
      <c r="AL681" s="83"/>
      <c r="AM681" s="83"/>
    </row>
    <row r="682" ht="13.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3"/>
      <c r="O682" s="83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  <c r="AB682" s="83"/>
      <c r="AC682" s="83"/>
      <c r="AD682" s="83"/>
      <c r="AE682" s="83"/>
      <c r="AF682" s="83"/>
      <c r="AG682" s="83"/>
      <c r="AH682" s="83"/>
      <c r="AI682" s="83"/>
      <c r="AJ682" s="83"/>
      <c r="AK682" s="83"/>
      <c r="AL682" s="83"/>
      <c r="AM682" s="83"/>
    </row>
    <row r="683" ht="13.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3"/>
      <c r="O683" s="83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  <c r="AB683" s="83"/>
      <c r="AC683" s="83"/>
      <c r="AD683" s="83"/>
      <c r="AE683" s="83"/>
      <c r="AF683" s="83"/>
      <c r="AG683" s="83"/>
      <c r="AH683" s="83"/>
      <c r="AI683" s="83"/>
      <c r="AJ683" s="83"/>
      <c r="AK683" s="83"/>
      <c r="AL683" s="83"/>
      <c r="AM683" s="83"/>
    </row>
    <row r="684" ht="13.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3"/>
      <c r="O684" s="83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  <c r="AB684" s="83"/>
      <c r="AC684" s="83"/>
      <c r="AD684" s="83"/>
      <c r="AE684" s="83"/>
      <c r="AF684" s="83"/>
      <c r="AG684" s="83"/>
      <c r="AH684" s="83"/>
      <c r="AI684" s="83"/>
      <c r="AJ684" s="83"/>
      <c r="AK684" s="83"/>
      <c r="AL684" s="83"/>
      <c r="AM684" s="83"/>
    </row>
    <row r="685" ht="13.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3"/>
      <c r="O685" s="83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  <c r="AB685" s="83"/>
      <c r="AC685" s="83"/>
      <c r="AD685" s="83"/>
      <c r="AE685" s="83"/>
      <c r="AF685" s="83"/>
      <c r="AG685" s="83"/>
      <c r="AH685" s="83"/>
      <c r="AI685" s="83"/>
      <c r="AJ685" s="83"/>
      <c r="AK685" s="83"/>
      <c r="AL685" s="83"/>
      <c r="AM685" s="83"/>
    </row>
    <row r="686" ht="13.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3"/>
      <c r="O686" s="83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  <c r="AB686" s="83"/>
      <c r="AC686" s="83"/>
      <c r="AD686" s="83"/>
      <c r="AE686" s="83"/>
      <c r="AF686" s="83"/>
      <c r="AG686" s="83"/>
      <c r="AH686" s="83"/>
      <c r="AI686" s="83"/>
      <c r="AJ686" s="83"/>
      <c r="AK686" s="83"/>
      <c r="AL686" s="83"/>
      <c r="AM686" s="83"/>
    </row>
    <row r="687" ht="13.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3"/>
      <c r="O687" s="83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  <c r="AB687" s="83"/>
      <c r="AC687" s="83"/>
      <c r="AD687" s="83"/>
      <c r="AE687" s="83"/>
      <c r="AF687" s="83"/>
      <c r="AG687" s="83"/>
      <c r="AH687" s="83"/>
      <c r="AI687" s="83"/>
      <c r="AJ687" s="83"/>
      <c r="AK687" s="83"/>
      <c r="AL687" s="83"/>
      <c r="AM687" s="83"/>
    </row>
    <row r="688" ht="13.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3"/>
      <c r="O688" s="83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  <c r="AB688" s="83"/>
      <c r="AC688" s="83"/>
      <c r="AD688" s="83"/>
      <c r="AE688" s="83"/>
      <c r="AF688" s="83"/>
      <c r="AG688" s="83"/>
      <c r="AH688" s="83"/>
      <c r="AI688" s="83"/>
      <c r="AJ688" s="83"/>
      <c r="AK688" s="83"/>
      <c r="AL688" s="83"/>
      <c r="AM688" s="83"/>
    </row>
    <row r="689" ht="13.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3"/>
      <c r="O689" s="83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  <c r="AB689" s="83"/>
      <c r="AC689" s="83"/>
      <c r="AD689" s="83"/>
      <c r="AE689" s="83"/>
      <c r="AF689" s="83"/>
      <c r="AG689" s="83"/>
      <c r="AH689" s="83"/>
      <c r="AI689" s="83"/>
      <c r="AJ689" s="83"/>
      <c r="AK689" s="83"/>
      <c r="AL689" s="83"/>
      <c r="AM689" s="83"/>
    </row>
    <row r="690" ht="13.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3"/>
      <c r="O690" s="83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  <c r="AB690" s="83"/>
      <c r="AC690" s="83"/>
      <c r="AD690" s="83"/>
      <c r="AE690" s="83"/>
      <c r="AF690" s="83"/>
      <c r="AG690" s="83"/>
      <c r="AH690" s="83"/>
      <c r="AI690" s="83"/>
      <c r="AJ690" s="83"/>
      <c r="AK690" s="83"/>
      <c r="AL690" s="83"/>
      <c r="AM690" s="83"/>
    </row>
    <row r="691" ht="13.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3"/>
      <c r="O691" s="83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  <c r="AB691" s="83"/>
      <c r="AC691" s="83"/>
      <c r="AD691" s="83"/>
      <c r="AE691" s="83"/>
      <c r="AF691" s="83"/>
      <c r="AG691" s="83"/>
      <c r="AH691" s="83"/>
      <c r="AI691" s="83"/>
      <c r="AJ691" s="83"/>
      <c r="AK691" s="83"/>
      <c r="AL691" s="83"/>
      <c r="AM691" s="83"/>
    </row>
    <row r="692" ht="13.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3"/>
      <c r="O692" s="83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  <c r="AB692" s="83"/>
      <c r="AC692" s="83"/>
      <c r="AD692" s="83"/>
      <c r="AE692" s="83"/>
      <c r="AF692" s="83"/>
      <c r="AG692" s="83"/>
      <c r="AH692" s="83"/>
      <c r="AI692" s="83"/>
      <c r="AJ692" s="83"/>
      <c r="AK692" s="83"/>
      <c r="AL692" s="83"/>
      <c r="AM692" s="83"/>
    </row>
    <row r="693" ht="13.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3"/>
      <c r="O693" s="83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  <c r="AB693" s="83"/>
      <c r="AC693" s="83"/>
      <c r="AD693" s="83"/>
      <c r="AE693" s="83"/>
      <c r="AF693" s="83"/>
      <c r="AG693" s="83"/>
      <c r="AH693" s="83"/>
      <c r="AI693" s="83"/>
      <c r="AJ693" s="83"/>
      <c r="AK693" s="83"/>
      <c r="AL693" s="83"/>
      <c r="AM693" s="83"/>
    </row>
    <row r="694" ht="13.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3"/>
      <c r="O694" s="83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  <c r="AB694" s="83"/>
      <c r="AC694" s="83"/>
      <c r="AD694" s="83"/>
      <c r="AE694" s="83"/>
      <c r="AF694" s="83"/>
      <c r="AG694" s="83"/>
      <c r="AH694" s="83"/>
      <c r="AI694" s="83"/>
      <c r="AJ694" s="83"/>
      <c r="AK694" s="83"/>
      <c r="AL694" s="83"/>
      <c r="AM694" s="83"/>
    </row>
    <row r="695" ht="13.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3"/>
      <c r="O695" s="83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  <c r="AB695" s="83"/>
      <c r="AC695" s="83"/>
      <c r="AD695" s="83"/>
      <c r="AE695" s="83"/>
      <c r="AF695" s="83"/>
      <c r="AG695" s="83"/>
      <c r="AH695" s="83"/>
      <c r="AI695" s="83"/>
      <c r="AJ695" s="83"/>
      <c r="AK695" s="83"/>
      <c r="AL695" s="83"/>
      <c r="AM695" s="83"/>
    </row>
    <row r="696" ht="13.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3"/>
      <c r="O696" s="83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  <c r="AB696" s="83"/>
      <c r="AC696" s="83"/>
      <c r="AD696" s="83"/>
      <c r="AE696" s="83"/>
      <c r="AF696" s="83"/>
      <c r="AG696" s="83"/>
      <c r="AH696" s="83"/>
      <c r="AI696" s="83"/>
      <c r="AJ696" s="83"/>
      <c r="AK696" s="83"/>
      <c r="AL696" s="83"/>
      <c r="AM696" s="83"/>
    </row>
    <row r="697" ht="13.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3"/>
      <c r="O697" s="83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  <c r="AB697" s="83"/>
      <c r="AC697" s="83"/>
      <c r="AD697" s="83"/>
      <c r="AE697" s="83"/>
      <c r="AF697" s="83"/>
      <c r="AG697" s="83"/>
      <c r="AH697" s="83"/>
      <c r="AI697" s="83"/>
      <c r="AJ697" s="83"/>
      <c r="AK697" s="83"/>
      <c r="AL697" s="83"/>
      <c r="AM697" s="83"/>
    </row>
    <row r="698" ht="13.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3"/>
      <c r="O698" s="83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  <c r="AB698" s="83"/>
      <c r="AC698" s="83"/>
      <c r="AD698" s="83"/>
      <c r="AE698" s="83"/>
      <c r="AF698" s="83"/>
      <c r="AG698" s="83"/>
      <c r="AH698" s="83"/>
      <c r="AI698" s="83"/>
      <c r="AJ698" s="83"/>
      <c r="AK698" s="83"/>
      <c r="AL698" s="83"/>
      <c r="AM698" s="83"/>
    </row>
    <row r="699" ht="13.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3"/>
      <c r="O699" s="83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  <c r="AB699" s="83"/>
      <c r="AC699" s="83"/>
      <c r="AD699" s="83"/>
      <c r="AE699" s="83"/>
      <c r="AF699" s="83"/>
      <c r="AG699" s="83"/>
      <c r="AH699" s="83"/>
      <c r="AI699" s="83"/>
      <c r="AJ699" s="83"/>
      <c r="AK699" s="83"/>
      <c r="AL699" s="83"/>
      <c r="AM699" s="83"/>
    </row>
    <row r="700" ht="13.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3"/>
      <c r="O700" s="83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  <c r="AB700" s="83"/>
      <c r="AC700" s="83"/>
      <c r="AD700" s="83"/>
      <c r="AE700" s="83"/>
      <c r="AF700" s="83"/>
      <c r="AG700" s="83"/>
      <c r="AH700" s="83"/>
      <c r="AI700" s="83"/>
      <c r="AJ700" s="83"/>
      <c r="AK700" s="83"/>
      <c r="AL700" s="83"/>
      <c r="AM700" s="83"/>
    </row>
    <row r="701" ht="13.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3"/>
      <c r="O701" s="83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  <c r="AB701" s="83"/>
      <c r="AC701" s="83"/>
      <c r="AD701" s="83"/>
      <c r="AE701" s="83"/>
      <c r="AF701" s="83"/>
      <c r="AG701" s="83"/>
      <c r="AH701" s="83"/>
      <c r="AI701" s="83"/>
      <c r="AJ701" s="83"/>
      <c r="AK701" s="83"/>
      <c r="AL701" s="83"/>
      <c r="AM701" s="83"/>
    </row>
    <row r="702" ht="13.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3"/>
      <c r="O702" s="83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  <c r="AB702" s="83"/>
      <c r="AC702" s="83"/>
      <c r="AD702" s="83"/>
      <c r="AE702" s="83"/>
      <c r="AF702" s="83"/>
      <c r="AG702" s="83"/>
      <c r="AH702" s="83"/>
      <c r="AI702" s="83"/>
      <c r="AJ702" s="83"/>
      <c r="AK702" s="83"/>
      <c r="AL702" s="83"/>
      <c r="AM702" s="83"/>
    </row>
    <row r="703" ht="13.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3"/>
      <c r="O703" s="83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  <c r="AB703" s="83"/>
      <c r="AC703" s="83"/>
      <c r="AD703" s="83"/>
      <c r="AE703" s="83"/>
      <c r="AF703" s="83"/>
      <c r="AG703" s="83"/>
      <c r="AH703" s="83"/>
      <c r="AI703" s="83"/>
      <c r="AJ703" s="83"/>
      <c r="AK703" s="83"/>
      <c r="AL703" s="83"/>
      <c r="AM703" s="83"/>
    </row>
    <row r="704" ht="13.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3"/>
      <c r="O704" s="83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  <c r="AB704" s="83"/>
      <c r="AC704" s="83"/>
      <c r="AD704" s="83"/>
      <c r="AE704" s="83"/>
      <c r="AF704" s="83"/>
      <c r="AG704" s="83"/>
      <c r="AH704" s="83"/>
      <c r="AI704" s="83"/>
      <c r="AJ704" s="83"/>
      <c r="AK704" s="83"/>
      <c r="AL704" s="83"/>
      <c r="AM704" s="83"/>
    </row>
    <row r="705" ht="13.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3"/>
      <c r="O705" s="83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  <c r="AB705" s="83"/>
      <c r="AC705" s="83"/>
      <c r="AD705" s="83"/>
      <c r="AE705" s="83"/>
      <c r="AF705" s="83"/>
      <c r="AG705" s="83"/>
      <c r="AH705" s="83"/>
      <c r="AI705" s="83"/>
      <c r="AJ705" s="83"/>
      <c r="AK705" s="83"/>
      <c r="AL705" s="83"/>
      <c r="AM705" s="83"/>
    </row>
    <row r="706" ht="13.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3"/>
      <c r="O706" s="83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  <c r="AB706" s="83"/>
      <c r="AC706" s="83"/>
      <c r="AD706" s="83"/>
      <c r="AE706" s="83"/>
      <c r="AF706" s="83"/>
      <c r="AG706" s="83"/>
      <c r="AH706" s="83"/>
      <c r="AI706" s="83"/>
      <c r="AJ706" s="83"/>
      <c r="AK706" s="83"/>
      <c r="AL706" s="83"/>
      <c r="AM706" s="83"/>
    </row>
    <row r="707" ht="13.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3"/>
      <c r="O707" s="83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  <c r="AB707" s="83"/>
      <c r="AC707" s="83"/>
      <c r="AD707" s="83"/>
      <c r="AE707" s="83"/>
      <c r="AF707" s="83"/>
      <c r="AG707" s="83"/>
      <c r="AH707" s="83"/>
      <c r="AI707" s="83"/>
      <c r="AJ707" s="83"/>
      <c r="AK707" s="83"/>
      <c r="AL707" s="83"/>
      <c r="AM707" s="83"/>
    </row>
    <row r="708" ht="13.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3"/>
      <c r="O708" s="83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  <c r="AB708" s="83"/>
      <c r="AC708" s="83"/>
      <c r="AD708" s="83"/>
      <c r="AE708" s="83"/>
      <c r="AF708" s="83"/>
      <c r="AG708" s="83"/>
      <c r="AH708" s="83"/>
      <c r="AI708" s="83"/>
      <c r="AJ708" s="83"/>
      <c r="AK708" s="83"/>
      <c r="AL708" s="83"/>
      <c r="AM708" s="83"/>
    </row>
    <row r="709" ht="13.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3"/>
      <c r="O709" s="83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  <c r="AB709" s="83"/>
      <c r="AC709" s="83"/>
      <c r="AD709" s="83"/>
      <c r="AE709" s="83"/>
      <c r="AF709" s="83"/>
      <c r="AG709" s="83"/>
      <c r="AH709" s="83"/>
      <c r="AI709" s="83"/>
      <c r="AJ709" s="83"/>
      <c r="AK709" s="83"/>
      <c r="AL709" s="83"/>
      <c r="AM709" s="83"/>
    </row>
    <row r="710" ht="13.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3"/>
      <c r="O710" s="83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  <c r="AB710" s="83"/>
      <c r="AC710" s="83"/>
      <c r="AD710" s="83"/>
      <c r="AE710" s="83"/>
      <c r="AF710" s="83"/>
      <c r="AG710" s="83"/>
      <c r="AH710" s="83"/>
      <c r="AI710" s="83"/>
      <c r="AJ710" s="83"/>
      <c r="AK710" s="83"/>
      <c r="AL710" s="83"/>
      <c r="AM710" s="83"/>
    </row>
    <row r="711" ht="13.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3"/>
      <c r="O711" s="83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  <c r="AB711" s="83"/>
      <c r="AC711" s="83"/>
      <c r="AD711" s="83"/>
      <c r="AE711" s="83"/>
      <c r="AF711" s="83"/>
      <c r="AG711" s="83"/>
      <c r="AH711" s="83"/>
      <c r="AI711" s="83"/>
      <c r="AJ711" s="83"/>
      <c r="AK711" s="83"/>
      <c r="AL711" s="83"/>
      <c r="AM711" s="83"/>
    </row>
    <row r="712" ht="13.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3"/>
      <c r="O712" s="83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  <c r="AB712" s="83"/>
      <c r="AC712" s="83"/>
      <c r="AD712" s="83"/>
      <c r="AE712" s="83"/>
      <c r="AF712" s="83"/>
      <c r="AG712" s="83"/>
      <c r="AH712" s="83"/>
      <c r="AI712" s="83"/>
      <c r="AJ712" s="83"/>
      <c r="AK712" s="83"/>
      <c r="AL712" s="83"/>
      <c r="AM712" s="83"/>
    </row>
    <row r="713" ht="13.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3"/>
      <c r="O713" s="83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  <c r="AB713" s="83"/>
      <c r="AC713" s="83"/>
      <c r="AD713" s="83"/>
      <c r="AE713" s="83"/>
      <c r="AF713" s="83"/>
      <c r="AG713" s="83"/>
      <c r="AH713" s="83"/>
      <c r="AI713" s="83"/>
      <c r="AJ713" s="83"/>
      <c r="AK713" s="83"/>
      <c r="AL713" s="83"/>
      <c r="AM713" s="83"/>
    </row>
    <row r="714" ht="13.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3"/>
      <c r="O714" s="83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  <c r="AB714" s="83"/>
      <c r="AC714" s="83"/>
      <c r="AD714" s="83"/>
      <c r="AE714" s="83"/>
      <c r="AF714" s="83"/>
      <c r="AG714" s="83"/>
      <c r="AH714" s="83"/>
      <c r="AI714" s="83"/>
      <c r="AJ714" s="83"/>
      <c r="AK714" s="83"/>
      <c r="AL714" s="83"/>
      <c r="AM714" s="83"/>
    </row>
    <row r="715" ht="13.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3"/>
      <c r="O715" s="83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  <c r="AB715" s="83"/>
      <c r="AC715" s="83"/>
      <c r="AD715" s="83"/>
      <c r="AE715" s="83"/>
      <c r="AF715" s="83"/>
      <c r="AG715" s="83"/>
      <c r="AH715" s="83"/>
      <c r="AI715" s="83"/>
      <c r="AJ715" s="83"/>
      <c r="AK715" s="83"/>
      <c r="AL715" s="83"/>
      <c r="AM715" s="83"/>
    </row>
    <row r="716" ht="13.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3"/>
      <c r="O716" s="83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  <c r="AB716" s="83"/>
      <c r="AC716" s="83"/>
      <c r="AD716" s="83"/>
      <c r="AE716" s="83"/>
      <c r="AF716" s="83"/>
      <c r="AG716" s="83"/>
      <c r="AH716" s="83"/>
      <c r="AI716" s="83"/>
      <c r="AJ716" s="83"/>
      <c r="AK716" s="83"/>
      <c r="AL716" s="83"/>
      <c r="AM716" s="83"/>
    </row>
    <row r="717" ht="13.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3"/>
      <c r="O717" s="83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  <c r="AB717" s="83"/>
      <c r="AC717" s="83"/>
      <c r="AD717" s="83"/>
      <c r="AE717" s="83"/>
      <c r="AF717" s="83"/>
      <c r="AG717" s="83"/>
      <c r="AH717" s="83"/>
      <c r="AI717" s="83"/>
      <c r="AJ717" s="83"/>
      <c r="AK717" s="83"/>
      <c r="AL717" s="83"/>
      <c r="AM717" s="83"/>
    </row>
    <row r="718" ht="13.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3"/>
      <c r="O718" s="83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  <c r="AB718" s="83"/>
      <c r="AC718" s="83"/>
      <c r="AD718" s="83"/>
      <c r="AE718" s="83"/>
      <c r="AF718" s="83"/>
      <c r="AG718" s="83"/>
      <c r="AH718" s="83"/>
      <c r="AI718" s="83"/>
      <c r="AJ718" s="83"/>
      <c r="AK718" s="83"/>
      <c r="AL718" s="83"/>
      <c r="AM718" s="83"/>
    </row>
    <row r="719" ht="13.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3"/>
      <c r="O719" s="83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  <c r="AB719" s="83"/>
      <c r="AC719" s="83"/>
      <c r="AD719" s="83"/>
      <c r="AE719" s="83"/>
      <c r="AF719" s="83"/>
      <c r="AG719" s="83"/>
      <c r="AH719" s="83"/>
      <c r="AI719" s="83"/>
      <c r="AJ719" s="83"/>
      <c r="AK719" s="83"/>
      <c r="AL719" s="83"/>
      <c r="AM719" s="83"/>
    </row>
    <row r="720" ht="13.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3"/>
      <c r="O720" s="83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  <c r="AB720" s="83"/>
      <c r="AC720" s="83"/>
      <c r="AD720" s="83"/>
      <c r="AE720" s="83"/>
      <c r="AF720" s="83"/>
      <c r="AG720" s="83"/>
      <c r="AH720" s="83"/>
      <c r="AI720" s="83"/>
      <c r="AJ720" s="83"/>
      <c r="AK720" s="83"/>
      <c r="AL720" s="83"/>
      <c r="AM720" s="83"/>
    </row>
    <row r="721" ht="13.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3"/>
      <c r="O721" s="83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  <c r="AB721" s="83"/>
      <c r="AC721" s="83"/>
      <c r="AD721" s="83"/>
      <c r="AE721" s="83"/>
      <c r="AF721" s="83"/>
      <c r="AG721" s="83"/>
      <c r="AH721" s="83"/>
      <c r="AI721" s="83"/>
      <c r="AJ721" s="83"/>
      <c r="AK721" s="83"/>
      <c r="AL721" s="83"/>
      <c r="AM721" s="83"/>
    </row>
    <row r="722" ht="13.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3"/>
      <c r="O722" s="83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  <c r="AB722" s="83"/>
      <c r="AC722" s="83"/>
      <c r="AD722" s="83"/>
      <c r="AE722" s="83"/>
      <c r="AF722" s="83"/>
      <c r="AG722" s="83"/>
      <c r="AH722" s="83"/>
      <c r="AI722" s="83"/>
      <c r="AJ722" s="83"/>
      <c r="AK722" s="83"/>
      <c r="AL722" s="83"/>
      <c r="AM722" s="83"/>
    </row>
    <row r="723" ht="13.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3"/>
      <c r="O723" s="83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  <c r="AB723" s="83"/>
      <c r="AC723" s="83"/>
      <c r="AD723" s="83"/>
      <c r="AE723" s="83"/>
      <c r="AF723" s="83"/>
      <c r="AG723" s="83"/>
      <c r="AH723" s="83"/>
      <c r="AI723" s="83"/>
      <c r="AJ723" s="83"/>
      <c r="AK723" s="83"/>
      <c r="AL723" s="83"/>
      <c r="AM723" s="83"/>
    </row>
    <row r="724" ht="13.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3"/>
      <c r="O724" s="83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  <c r="AB724" s="83"/>
      <c r="AC724" s="83"/>
      <c r="AD724" s="83"/>
      <c r="AE724" s="83"/>
      <c r="AF724" s="83"/>
      <c r="AG724" s="83"/>
      <c r="AH724" s="83"/>
      <c r="AI724" s="83"/>
      <c r="AJ724" s="83"/>
      <c r="AK724" s="83"/>
      <c r="AL724" s="83"/>
      <c r="AM724" s="83"/>
    </row>
    <row r="725" ht="13.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3"/>
      <c r="O725" s="83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  <c r="AB725" s="83"/>
      <c r="AC725" s="83"/>
      <c r="AD725" s="83"/>
      <c r="AE725" s="83"/>
      <c r="AF725" s="83"/>
      <c r="AG725" s="83"/>
      <c r="AH725" s="83"/>
      <c r="AI725" s="83"/>
      <c r="AJ725" s="83"/>
      <c r="AK725" s="83"/>
      <c r="AL725" s="83"/>
      <c r="AM725" s="83"/>
    </row>
    <row r="726" ht="13.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3"/>
      <c r="O726" s="83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  <c r="AB726" s="83"/>
      <c r="AC726" s="83"/>
      <c r="AD726" s="83"/>
      <c r="AE726" s="83"/>
      <c r="AF726" s="83"/>
      <c r="AG726" s="83"/>
      <c r="AH726" s="83"/>
      <c r="AI726" s="83"/>
      <c r="AJ726" s="83"/>
      <c r="AK726" s="83"/>
      <c r="AL726" s="83"/>
      <c r="AM726" s="83"/>
    </row>
    <row r="727" ht="13.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3"/>
      <c r="O727" s="83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  <c r="AB727" s="83"/>
      <c r="AC727" s="83"/>
      <c r="AD727" s="83"/>
      <c r="AE727" s="83"/>
      <c r="AF727" s="83"/>
      <c r="AG727" s="83"/>
      <c r="AH727" s="83"/>
      <c r="AI727" s="83"/>
      <c r="AJ727" s="83"/>
      <c r="AK727" s="83"/>
      <c r="AL727" s="83"/>
      <c r="AM727" s="83"/>
    </row>
    <row r="728" ht="13.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3"/>
      <c r="O728" s="83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  <c r="AB728" s="83"/>
      <c r="AC728" s="83"/>
      <c r="AD728" s="83"/>
      <c r="AE728" s="83"/>
      <c r="AF728" s="83"/>
      <c r="AG728" s="83"/>
      <c r="AH728" s="83"/>
      <c r="AI728" s="83"/>
      <c r="AJ728" s="83"/>
      <c r="AK728" s="83"/>
      <c r="AL728" s="83"/>
      <c r="AM728" s="83"/>
    </row>
    <row r="729" ht="13.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3"/>
      <c r="O729" s="83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  <c r="AB729" s="83"/>
      <c r="AC729" s="83"/>
      <c r="AD729" s="83"/>
      <c r="AE729" s="83"/>
      <c r="AF729" s="83"/>
      <c r="AG729" s="83"/>
      <c r="AH729" s="83"/>
      <c r="AI729" s="83"/>
      <c r="AJ729" s="83"/>
      <c r="AK729" s="83"/>
      <c r="AL729" s="83"/>
      <c r="AM729" s="83"/>
    </row>
    <row r="730" ht="13.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3"/>
      <c r="O730" s="83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  <c r="AB730" s="83"/>
      <c r="AC730" s="83"/>
      <c r="AD730" s="83"/>
      <c r="AE730" s="83"/>
      <c r="AF730" s="83"/>
      <c r="AG730" s="83"/>
      <c r="AH730" s="83"/>
      <c r="AI730" s="83"/>
      <c r="AJ730" s="83"/>
      <c r="AK730" s="83"/>
      <c r="AL730" s="83"/>
      <c r="AM730" s="83"/>
    </row>
    <row r="731" ht="13.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3"/>
      <c r="O731" s="83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  <c r="AB731" s="83"/>
      <c r="AC731" s="83"/>
      <c r="AD731" s="83"/>
      <c r="AE731" s="83"/>
      <c r="AF731" s="83"/>
      <c r="AG731" s="83"/>
      <c r="AH731" s="83"/>
      <c r="AI731" s="83"/>
      <c r="AJ731" s="83"/>
      <c r="AK731" s="83"/>
      <c r="AL731" s="83"/>
      <c r="AM731" s="83"/>
    </row>
    <row r="732" ht="13.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3"/>
      <c r="O732" s="83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  <c r="AB732" s="83"/>
      <c r="AC732" s="83"/>
      <c r="AD732" s="83"/>
      <c r="AE732" s="83"/>
      <c r="AF732" s="83"/>
      <c r="AG732" s="83"/>
      <c r="AH732" s="83"/>
      <c r="AI732" s="83"/>
      <c r="AJ732" s="83"/>
      <c r="AK732" s="83"/>
      <c r="AL732" s="83"/>
      <c r="AM732" s="83"/>
    </row>
    <row r="733" ht="13.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3"/>
      <c r="O733" s="83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  <c r="AB733" s="83"/>
      <c r="AC733" s="83"/>
      <c r="AD733" s="83"/>
      <c r="AE733" s="83"/>
      <c r="AF733" s="83"/>
      <c r="AG733" s="83"/>
      <c r="AH733" s="83"/>
      <c r="AI733" s="83"/>
      <c r="AJ733" s="83"/>
      <c r="AK733" s="83"/>
      <c r="AL733" s="83"/>
      <c r="AM733" s="83"/>
    </row>
    <row r="734" ht="13.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3"/>
      <c r="O734" s="83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  <c r="AB734" s="83"/>
      <c r="AC734" s="83"/>
      <c r="AD734" s="83"/>
      <c r="AE734" s="83"/>
      <c r="AF734" s="83"/>
      <c r="AG734" s="83"/>
      <c r="AH734" s="83"/>
      <c r="AI734" s="83"/>
      <c r="AJ734" s="83"/>
      <c r="AK734" s="83"/>
      <c r="AL734" s="83"/>
      <c r="AM734" s="83"/>
    </row>
    <row r="735" ht="13.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3"/>
      <c r="O735" s="83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  <c r="AB735" s="83"/>
      <c r="AC735" s="83"/>
      <c r="AD735" s="83"/>
      <c r="AE735" s="83"/>
      <c r="AF735" s="83"/>
      <c r="AG735" s="83"/>
      <c r="AH735" s="83"/>
      <c r="AI735" s="83"/>
      <c r="AJ735" s="83"/>
      <c r="AK735" s="83"/>
      <c r="AL735" s="83"/>
      <c r="AM735" s="83"/>
    </row>
    <row r="736" ht="13.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3"/>
      <c r="O736" s="83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  <c r="AB736" s="83"/>
      <c r="AC736" s="83"/>
      <c r="AD736" s="83"/>
      <c r="AE736" s="83"/>
      <c r="AF736" s="83"/>
      <c r="AG736" s="83"/>
      <c r="AH736" s="83"/>
      <c r="AI736" s="83"/>
      <c r="AJ736" s="83"/>
      <c r="AK736" s="83"/>
      <c r="AL736" s="83"/>
      <c r="AM736" s="83"/>
    </row>
    <row r="737" ht="13.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3"/>
      <c r="O737" s="83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  <c r="AB737" s="83"/>
      <c r="AC737" s="83"/>
      <c r="AD737" s="83"/>
      <c r="AE737" s="83"/>
      <c r="AF737" s="83"/>
      <c r="AG737" s="83"/>
      <c r="AH737" s="83"/>
      <c r="AI737" s="83"/>
      <c r="AJ737" s="83"/>
      <c r="AK737" s="83"/>
      <c r="AL737" s="83"/>
      <c r="AM737" s="83"/>
    </row>
    <row r="738" ht="13.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3"/>
      <c r="O738" s="83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  <c r="AB738" s="83"/>
      <c r="AC738" s="83"/>
      <c r="AD738" s="83"/>
      <c r="AE738" s="83"/>
      <c r="AF738" s="83"/>
      <c r="AG738" s="83"/>
      <c r="AH738" s="83"/>
      <c r="AI738" s="83"/>
      <c r="AJ738" s="83"/>
      <c r="AK738" s="83"/>
      <c r="AL738" s="83"/>
      <c r="AM738" s="83"/>
    </row>
    <row r="739" ht="13.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3"/>
      <c r="O739" s="83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  <c r="AB739" s="83"/>
      <c r="AC739" s="83"/>
      <c r="AD739" s="83"/>
      <c r="AE739" s="83"/>
      <c r="AF739" s="83"/>
      <c r="AG739" s="83"/>
      <c r="AH739" s="83"/>
      <c r="AI739" s="83"/>
      <c r="AJ739" s="83"/>
      <c r="AK739" s="83"/>
      <c r="AL739" s="83"/>
      <c r="AM739" s="83"/>
    </row>
    <row r="740" ht="13.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3"/>
      <c r="O740" s="83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  <c r="AB740" s="83"/>
      <c r="AC740" s="83"/>
      <c r="AD740" s="83"/>
      <c r="AE740" s="83"/>
      <c r="AF740" s="83"/>
      <c r="AG740" s="83"/>
      <c r="AH740" s="83"/>
      <c r="AI740" s="83"/>
      <c r="AJ740" s="83"/>
      <c r="AK740" s="83"/>
      <c r="AL740" s="83"/>
      <c r="AM740" s="83"/>
    </row>
    <row r="741" ht="13.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3"/>
      <c r="O741" s="83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  <c r="AB741" s="83"/>
      <c r="AC741" s="83"/>
      <c r="AD741" s="83"/>
      <c r="AE741" s="83"/>
      <c r="AF741" s="83"/>
      <c r="AG741" s="83"/>
      <c r="AH741" s="83"/>
      <c r="AI741" s="83"/>
      <c r="AJ741" s="83"/>
      <c r="AK741" s="83"/>
      <c r="AL741" s="83"/>
      <c r="AM741" s="83"/>
    </row>
    <row r="742" ht="13.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3"/>
      <c r="O742" s="83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  <c r="AB742" s="83"/>
      <c r="AC742" s="83"/>
      <c r="AD742" s="83"/>
      <c r="AE742" s="83"/>
      <c r="AF742" s="83"/>
      <c r="AG742" s="83"/>
      <c r="AH742" s="83"/>
      <c r="AI742" s="83"/>
      <c r="AJ742" s="83"/>
      <c r="AK742" s="83"/>
      <c r="AL742" s="83"/>
      <c r="AM742" s="83"/>
    </row>
    <row r="743" ht="13.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3"/>
      <c r="O743" s="83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  <c r="AB743" s="83"/>
      <c r="AC743" s="83"/>
      <c r="AD743" s="83"/>
      <c r="AE743" s="83"/>
      <c r="AF743" s="83"/>
      <c r="AG743" s="83"/>
      <c r="AH743" s="83"/>
      <c r="AI743" s="83"/>
      <c r="AJ743" s="83"/>
      <c r="AK743" s="83"/>
      <c r="AL743" s="83"/>
      <c r="AM743" s="83"/>
    </row>
    <row r="744" ht="13.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3"/>
      <c r="O744" s="83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  <c r="AB744" s="83"/>
      <c r="AC744" s="83"/>
      <c r="AD744" s="83"/>
      <c r="AE744" s="83"/>
      <c r="AF744" s="83"/>
      <c r="AG744" s="83"/>
      <c r="AH744" s="83"/>
      <c r="AI744" s="83"/>
      <c r="AJ744" s="83"/>
      <c r="AK744" s="83"/>
      <c r="AL744" s="83"/>
      <c r="AM744" s="83"/>
    </row>
    <row r="745" ht="13.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3"/>
      <c r="O745" s="83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  <c r="AB745" s="83"/>
      <c r="AC745" s="83"/>
      <c r="AD745" s="83"/>
      <c r="AE745" s="83"/>
      <c r="AF745" s="83"/>
      <c r="AG745" s="83"/>
      <c r="AH745" s="83"/>
      <c r="AI745" s="83"/>
      <c r="AJ745" s="83"/>
      <c r="AK745" s="83"/>
      <c r="AL745" s="83"/>
      <c r="AM745" s="83"/>
    </row>
    <row r="746" ht="13.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3"/>
      <c r="O746" s="83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  <c r="AB746" s="83"/>
      <c r="AC746" s="83"/>
      <c r="AD746" s="83"/>
      <c r="AE746" s="83"/>
      <c r="AF746" s="83"/>
      <c r="AG746" s="83"/>
      <c r="AH746" s="83"/>
      <c r="AI746" s="83"/>
      <c r="AJ746" s="83"/>
      <c r="AK746" s="83"/>
      <c r="AL746" s="83"/>
      <c r="AM746" s="83"/>
    </row>
    <row r="747" ht="13.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3"/>
      <c r="O747" s="83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  <c r="AB747" s="83"/>
      <c r="AC747" s="83"/>
      <c r="AD747" s="83"/>
      <c r="AE747" s="83"/>
      <c r="AF747" s="83"/>
      <c r="AG747" s="83"/>
      <c r="AH747" s="83"/>
      <c r="AI747" s="83"/>
      <c r="AJ747" s="83"/>
      <c r="AK747" s="83"/>
      <c r="AL747" s="83"/>
      <c r="AM747" s="83"/>
    </row>
    <row r="748" ht="13.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3"/>
      <c r="O748" s="83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  <c r="AB748" s="83"/>
      <c r="AC748" s="83"/>
      <c r="AD748" s="83"/>
      <c r="AE748" s="83"/>
      <c r="AF748" s="83"/>
      <c r="AG748" s="83"/>
      <c r="AH748" s="83"/>
      <c r="AI748" s="83"/>
      <c r="AJ748" s="83"/>
      <c r="AK748" s="83"/>
      <c r="AL748" s="83"/>
      <c r="AM748" s="83"/>
    </row>
    <row r="749" ht="13.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3"/>
      <c r="O749" s="83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  <c r="AB749" s="83"/>
      <c r="AC749" s="83"/>
      <c r="AD749" s="83"/>
      <c r="AE749" s="83"/>
      <c r="AF749" s="83"/>
      <c r="AG749" s="83"/>
      <c r="AH749" s="83"/>
      <c r="AI749" s="83"/>
      <c r="AJ749" s="83"/>
      <c r="AK749" s="83"/>
      <c r="AL749" s="83"/>
      <c r="AM749" s="83"/>
    </row>
    <row r="750" ht="13.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3"/>
      <c r="O750" s="83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  <c r="AB750" s="83"/>
      <c r="AC750" s="83"/>
      <c r="AD750" s="83"/>
      <c r="AE750" s="83"/>
      <c r="AF750" s="83"/>
      <c r="AG750" s="83"/>
      <c r="AH750" s="83"/>
      <c r="AI750" s="83"/>
      <c r="AJ750" s="83"/>
      <c r="AK750" s="83"/>
      <c r="AL750" s="83"/>
      <c r="AM750" s="83"/>
    </row>
    <row r="751" ht="13.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3"/>
      <c r="O751" s="83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  <c r="AB751" s="83"/>
      <c r="AC751" s="83"/>
      <c r="AD751" s="83"/>
      <c r="AE751" s="83"/>
      <c r="AF751" s="83"/>
      <c r="AG751" s="83"/>
      <c r="AH751" s="83"/>
      <c r="AI751" s="83"/>
      <c r="AJ751" s="83"/>
      <c r="AK751" s="83"/>
      <c r="AL751" s="83"/>
      <c r="AM751" s="83"/>
    </row>
    <row r="752" ht="13.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3"/>
      <c r="O752" s="83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  <c r="AB752" s="83"/>
      <c r="AC752" s="83"/>
      <c r="AD752" s="83"/>
      <c r="AE752" s="83"/>
      <c r="AF752" s="83"/>
      <c r="AG752" s="83"/>
      <c r="AH752" s="83"/>
      <c r="AI752" s="83"/>
      <c r="AJ752" s="83"/>
      <c r="AK752" s="83"/>
      <c r="AL752" s="83"/>
      <c r="AM752" s="83"/>
    </row>
    <row r="753" ht="13.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3"/>
      <c r="O753" s="83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  <c r="AB753" s="83"/>
      <c r="AC753" s="83"/>
      <c r="AD753" s="83"/>
      <c r="AE753" s="83"/>
      <c r="AF753" s="83"/>
      <c r="AG753" s="83"/>
      <c r="AH753" s="83"/>
      <c r="AI753" s="83"/>
      <c r="AJ753" s="83"/>
      <c r="AK753" s="83"/>
      <c r="AL753" s="83"/>
      <c r="AM753" s="83"/>
    </row>
    <row r="754" ht="13.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3"/>
      <c r="O754" s="83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  <c r="AB754" s="83"/>
      <c r="AC754" s="83"/>
      <c r="AD754" s="83"/>
      <c r="AE754" s="83"/>
      <c r="AF754" s="83"/>
      <c r="AG754" s="83"/>
      <c r="AH754" s="83"/>
      <c r="AI754" s="83"/>
      <c r="AJ754" s="83"/>
      <c r="AK754" s="83"/>
      <c r="AL754" s="83"/>
      <c r="AM754" s="83"/>
    </row>
    <row r="755" ht="13.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3"/>
      <c r="O755" s="83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  <c r="AB755" s="83"/>
      <c r="AC755" s="83"/>
      <c r="AD755" s="83"/>
      <c r="AE755" s="83"/>
      <c r="AF755" s="83"/>
      <c r="AG755" s="83"/>
      <c r="AH755" s="83"/>
      <c r="AI755" s="83"/>
      <c r="AJ755" s="83"/>
      <c r="AK755" s="83"/>
      <c r="AL755" s="83"/>
      <c r="AM755" s="83"/>
    </row>
    <row r="756" ht="13.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3"/>
      <c r="O756" s="83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  <c r="AB756" s="83"/>
      <c r="AC756" s="83"/>
      <c r="AD756" s="83"/>
      <c r="AE756" s="83"/>
      <c r="AF756" s="83"/>
      <c r="AG756" s="83"/>
      <c r="AH756" s="83"/>
      <c r="AI756" s="83"/>
      <c r="AJ756" s="83"/>
      <c r="AK756" s="83"/>
      <c r="AL756" s="83"/>
      <c r="AM756" s="83"/>
    </row>
    <row r="757" ht="13.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3"/>
      <c r="O757" s="83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  <c r="AB757" s="83"/>
      <c r="AC757" s="83"/>
      <c r="AD757" s="83"/>
      <c r="AE757" s="83"/>
      <c r="AF757" s="83"/>
      <c r="AG757" s="83"/>
      <c r="AH757" s="83"/>
      <c r="AI757" s="83"/>
      <c r="AJ757" s="83"/>
      <c r="AK757" s="83"/>
      <c r="AL757" s="83"/>
      <c r="AM757" s="83"/>
    </row>
    <row r="758" ht="13.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3"/>
      <c r="O758" s="83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  <c r="AB758" s="83"/>
      <c r="AC758" s="83"/>
      <c r="AD758" s="83"/>
      <c r="AE758" s="83"/>
      <c r="AF758" s="83"/>
      <c r="AG758" s="83"/>
      <c r="AH758" s="83"/>
      <c r="AI758" s="83"/>
      <c r="AJ758" s="83"/>
      <c r="AK758" s="83"/>
      <c r="AL758" s="83"/>
      <c r="AM758" s="83"/>
    </row>
    <row r="759" ht="13.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3"/>
      <c r="O759" s="83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  <c r="AB759" s="83"/>
      <c r="AC759" s="83"/>
      <c r="AD759" s="83"/>
      <c r="AE759" s="83"/>
      <c r="AF759" s="83"/>
      <c r="AG759" s="83"/>
      <c r="AH759" s="83"/>
      <c r="AI759" s="83"/>
      <c r="AJ759" s="83"/>
      <c r="AK759" s="83"/>
      <c r="AL759" s="83"/>
      <c r="AM759" s="83"/>
    </row>
    <row r="760" ht="13.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3"/>
      <c r="O760" s="83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  <c r="AB760" s="83"/>
      <c r="AC760" s="83"/>
      <c r="AD760" s="83"/>
      <c r="AE760" s="83"/>
      <c r="AF760" s="83"/>
      <c r="AG760" s="83"/>
      <c r="AH760" s="83"/>
      <c r="AI760" s="83"/>
      <c r="AJ760" s="83"/>
      <c r="AK760" s="83"/>
      <c r="AL760" s="83"/>
      <c r="AM760" s="83"/>
    </row>
    <row r="761" ht="13.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3"/>
      <c r="O761" s="83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  <c r="AB761" s="83"/>
      <c r="AC761" s="83"/>
      <c r="AD761" s="83"/>
      <c r="AE761" s="83"/>
      <c r="AF761" s="83"/>
      <c r="AG761" s="83"/>
      <c r="AH761" s="83"/>
      <c r="AI761" s="83"/>
      <c r="AJ761" s="83"/>
      <c r="AK761" s="83"/>
      <c r="AL761" s="83"/>
      <c r="AM761" s="83"/>
    </row>
    <row r="762" ht="13.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3"/>
      <c r="O762" s="83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  <c r="AB762" s="83"/>
      <c r="AC762" s="83"/>
      <c r="AD762" s="83"/>
      <c r="AE762" s="83"/>
      <c r="AF762" s="83"/>
      <c r="AG762" s="83"/>
      <c r="AH762" s="83"/>
      <c r="AI762" s="83"/>
      <c r="AJ762" s="83"/>
      <c r="AK762" s="83"/>
      <c r="AL762" s="83"/>
      <c r="AM762" s="83"/>
    </row>
    <row r="763" ht="13.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3"/>
      <c r="O763" s="83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  <c r="AB763" s="83"/>
      <c r="AC763" s="83"/>
      <c r="AD763" s="83"/>
      <c r="AE763" s="83"/>
      <c r="AF763" s="83"/>
      <c r="AG763" s="83"/>
      <c r="AH763" s="83"/>
      <c r="AI763" s="83"/>
      <c r="AJ763" s="83"/>
      <c r="AK763" s="83"/>
      <c r="AL763" s="83"/>
      <c r="AM763" s="83"/>
    </row>
    <row r="764" ht="13.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3"/>
      <c r="O764" s="83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  <c r="AB764" s="83"/>
      <c r="AC764" s="83"/>
      <c r="AD764" s="83"/>
      <c r="AE764" s="83"/>
      <c r="AF764" s="83"/>
      <c r="AG764" s="83"/>
      <c r="AH764" s="83"/>
      <c r="AI764" s="83"/>
      <c r="AJ764" s="83"/>
      <c r="AK764" s="83"/>
      <c r="AL764" s="83"/>
      <c r="AM764" s="83"/>
    </row>
    <row r="765" ht="13.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3"/>
      <c r="O765" s="83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  <c r="AB765" s="83"/>
      <c r="AC765" s="83"/>
      <c r="AD765" s="83"/>
      <c r="AE765" s="83"/>
      <c r="AF765" s="83"/>
      <c r="AG765" s="83"/>
      <c r="AH765" s="83"/>
      <c r="AI765" s="83"/>
      <c r="AJ765" s="83"/>
      <c r="AK765" s="83"/>
      <c r="AL765" s="83"/>
      <c r="AM765" s="83"/>
    </row>
    <row r="766" ht="13.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3"/>
      <c r="O766" s="83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  <c r="AB766" s="83"/>
      <c r="AC766" s="83"/>
      <c r="AD766" s="83"/>
      <c r="AE766" s="83"/>
      <c r="AF766" s="83"/>
      <c r="AG766" s="83"/>
      <c r="AH766" s="83"/>
      <c r="AI766" s="83"/>
      <c r="AJ766" s="83"/>
      <c r="AK766" s="83"/>
      <c r="AL766" s="83"/>
      <c r="AM766" s="83"/>
    </row>
    <row r="767" ht="13.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3"/>
      <c r="O767" s="83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  <c r="AB767" s="83"/>
      <c r="AC767" s="83"/>
      <c r="AD767" s="83"/>
      <c r="AE767" s="83"/>
      <c r="AF767" s="83"/>
      <c r="AG767" s="83"/>
      <c r="AH767" s="83"/>
      <c r="AI767" s="83"/>
      <c r="AJ767" s="83"/>
      <c r="AK767" s="83"/>
      <c r="AL767" s="83"/>
      <c r="AM767" s="83"/>
    </row>
    <row r="768" ht="13.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3"/>
      <c r="O768" s="83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  <c r="AB768" s="83"/>
      <c r="AC768" s="83"/>
      <c r="AD768" s="83"/>
      <c r="AE768" s="83"/>
      <c r="AF768" s="83"/>
      <c r="AG768" s="83"/>
      <c r="AH768" s="83"/>
      <c r="AI768" s="83"/>
      <c r="AJ768" s="83"/>
      <c r="AK768" s="83"/>
      <c r="AL768" s="83"/>
      <c r="AM768" s="83"/>
    </row>
    <row r="769" ht="13.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3"/>
      <c r="O769" s="83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  <c r="AB769" s="83"/>
      <c r="AC769" s="83"/>
      <c r="AD769" s="83"/>
      <c r="AE769" s="83"/>
      <c r="AF769" s="83"/>
      <c r="AG769" s="83"/>
      <c r="AH769" s="83"/>
      <c r="AI769" s="83"/>
      <c r="AJ769" s="83"/>
      <c r="AK769" s="83"/>
      <c r="AL769" s="83"/>
      <c r="AM769" s="83"/>
    </row>
    <row r="770" ht="13.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3"/>
      <c r="O770" s="83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  <c r="AB770" s="83"/>
      <c r="AC770" s="83"/>
      <c r="AD770" s="83"/>
      <c r="AE770" s="83"/>
      <c r="AF770" s="83"/>
      <c r="AG770" s="83"/>
      <c r="AH770" s="83"/>
      <c r="AI770" s="83"/>
      <c r="AJ770" s="83"/>
      <c r="AK770" s="83"/>
      <c r="AL770" s="83"/>
      <c r="AM770" s="83"/>
    </row>
    <row r="771" ht="13.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3"/>
      <c r="O771" s="83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  <c r="AB771" s="83"/>
      <c r="AC771" s="83"/>
      <c r="AD771" s="83"/>
      <c r="AE771" s="83"/>
      <c r="AF771" s="83"/>
      <c r="AG771" s="83"/>
      <c r="AH771" s="83"/>
      <c r="AI771" s="83"/>
      <c r="AJ771" s="83"/>
      <c r="AK771" s="83"/>
      <c r="AL771" s="83"/>
      <c r="AM771" s="83"/>
    </row>
    <row r="772" ht="13.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3"/>
      <c r="O772" s="83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  <c r="AB772" s="83"/>
      <c r="AC772" s="83"/>
      <c r="AD772" s="83"/>
      <c r="AE772" s="83"/>
      <c r="AF772" s="83"/>
      <c r="AG772" s="83"/>
      <c r="AH772" s="83"/>
      <c r="AI772" s="83"/>
      <c r="AJ772" s="83"/>
      <c r="AK772" s="83"/>
      <c r="AL772" s="83"/>
      <c r="AM772" s="83"/>
    </row>
    <row r="773" ht="13.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3"/>
      <c r="O773" s="83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  <c r="AB773" s="83"/>
      <c r="AC773" s="83"/>
      <c r="AD773" s="83"/>
      <c r="AE773" s="83"/>
      <c r="AF773" s="83"/>
      <c r="AG773" s="83"/>
      <c r="AH773" s="83"/>
      <c r="AI773" s="83"/>
      <c r="AJ773" s="83"/>
      <c r="AK773" s="83"/>
      <c r="AL773" s="83"/>
      <c r="AM773" s="83"/>
    </row>
    <row r="774" ht="13.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3"/>
      <c r="O774" s="83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  <c r="AB774" s="83"/>
      <c r="AC774" s="83"/>
      <c r="AD774" s="83"/>
      <c r="AE774" s="83"/>
      <c r="AF774" s="83"/>
      <c r="AG774" s="83"/>
      <c r="AH774" s="83"/>
      <c r="AI774" s="83"/>
      <c r="AJ774" s="83"/>
      <c r="AK774" s="83"/>
      <c r="AL774" s="83"/>
      <c r="AM774" s="83"/>
    </row>
    <row r="775" ht="13.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3"/>
      <c r="O775" s="83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  <c r="AB775" s="83"/>
      <c r="AC775" s="83"/>
      <c r="AD775" s="83"/>
      <c r="AE775" s="83"/>
      <c r="AF775" s="83"/>
      <c r="AG775" s="83"/>
      <c r="AH775" s="83"/>
      <c r="AI775" s="83"/>
      <c r="AJ775" s="83"/>
      <c r="AK775" s="83"/>
      <c r="AL775" s="83"/>
      <c r="AM775" s="83"/>
    </row>
    <row r="776" ht="13.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3"/>
      <c r="O776" s="83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  <c r="AB776" s="83"/>
      <c r="AC776" s="83"/>
      <c r="AD776" s="83"/>
      <c r="AE776" s="83"/>
      <c r="AF776" s="83"/>
      <c r="AG776" s="83"/>
      <c r="AH776" s="83"/>
      <c r="AI776" s="83"/>
      <c r="AJ776" s="83"/>
      <c r="AK776" s="83"/>
      <c r="AL776" s="83"/>
      <c r="AM776" s="83"/>
    </row>
    <row r="777" ht="13.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3"/>
      <c r="O777" s="83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  <c r="AB777" s="83"/>
      <c r="AC777" s="83"/>
      <c r="AD777" s="83"/>
      <c r="AE777" s="83"/>
      <c r="AF777" s="83"/>
      <c r="AG777" s="83"/>
      <c r="AH777" s="83"/>
      <c r="AI777" s="83"/>
      <c r="AJ777" s="83"/>
      <c r="AK777" s="83"/>
      <c r="AL777" s="83"/>
      <c r="AM777" s="83"/>
    </row>
    <row r="778" ht="13.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3"/>
      <c r="O778" s="83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  <c r="AB778" s="83"/>
      <c r="AC778" s="83"/>
      <c r="AD778" s="83"/>
      <c r="AE778" s="83"/>
      <c r="AF778" s="83"/>
      <c r="AG778" s="83"/>
      <c r="AH778" s="83"/>
      <c r="AI778" s="83"/>
      <c r="AJ778" s="83"/>
      <c r="AK778" s="83"/>
      <c r="AL778" s="83"/>
      <c r="AM778" s="83"/>
    </row>
    <row r="779" ht="13.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3"/>
      <c r="O779" s="83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  <c r="AB779" s="83"/>
      <c r="AC779" s="83"/>
      <c r="AD779" s="83"/>
      <c r="AE779" s="83"/>
      <c r="AF779" s="83"/>
      <c r="AG779" s="83"/>
      <c r="AH779" s="83"/>
      <c r="AI779" s="83"/>
      <c r="AJ779" s="83"/>
      <c r="AK779" s="83"/>
      <c r="AL779" s="83"/>
      <c r="AM779" s="83"/>
    </row>
    <row r="780" ht="13.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3"/>
      <c r="O780" s="83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  <c r="AB780" s="83"/>
      <c r="AC780" s="83"/>
      <c r="AD780" s="83"/>
      <c r="AE780" s="83"/>
      <c r="AF780" s="83"/>
      <c r="AG780" s="83"/>
      <c r="AH780" s="83"/>
      <c r="AI780" s="83"/>
      <c r="AJ780" s="83"/>
      <c r="AK780" s="83"/>
      <c r="AL780" s="83"/>
      <c r="AM780" s="83"/>
    </row>
    <row r="781" ht="13.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3"/>
      <c r="O781" s="83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  <c r="AB781" s="83"/>
      <c r="AC781" s="83"/>
      <c r="AD781" s="83"/>
      <c r="AE781" s="83"/>
      <c r="AF781" s="83"/>
      <c r="AG781" s="83"/>
      <c r="AH781" s="83"/>
      <c r="AI781" s="83"/>
      <c r="AJ781" s="83"/>
      <c r="AK781" s="83"/>
      <c r="AL781" s="83"/>
      <c r="AM781" s="83"/>
    </row>
    <row r="782" ht="13.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3"/>
      <c r="O782" s="83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  <c r="AB782" s="83"/>
      <c r="AC782" s="83"/>
      <c r="AD782" s="83"/>
      <c r="AE782" s="83"/>
      <c r="AF782" s="83"/>
      <c r="AG782" s="83"/>
      <c r="AH782" s="83"/>
      <c r="AI782" s="83"/>
      <c r="AJ782" s="83"/>
      <c r="AK782" s="83"/>
      <c r="AL782" s="83"/>
      <c r="AM782" s="83"/>
    </row>
    <row r="783" ht="13.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3"/>
      <c r="O783" s="83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  <c r="AB783" s="83"/>
      <c r="AC783" s="83"/>
      <c r="AD783" s="83"/>
      <c r="AE783" s="83"/>
      <c r="AF783" s="83"/>
      <c r="AG783" s="83"/>
      <c r="AH783" s="83"/>
      <c r="AI783" s="83"/>
      <c r="AJ783" s="83"/>
      <c r="AK783" s="83"/>
      <c r="AL783" s="83"/>
      <c r="AM783" s="83"/>
    </row>
    <row r="784" ht="13.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3"/>
      <c r="O784" s="83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  <c r="AB784" s="83"/>
      <c r="AC784" s="83"/>
      <c r="AD784" s="83"/>
      <c r="AE784" s="83"/>
      <c r="AF784" s="83"/>
      <c r="AG784" s="83"/>
      <c r="AH784" s="83"/>
      <c r="AI784" s="83"/>
      <c r="AJ784" s="83"/>
      <c r="AK784" s="83"/>
      <c r="AL784" s="83"/>
      <c r="AM784" s="83"/>
    </row>
    <row r="785" ht="13.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3"/>
      <c r="O785" s="83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  <c r="AB785" s="83"/>
      <c r="AC785" s="83"/>
      <c r="AD785" s="83"/>
      <c r="AE785" s="83"/>
      <c r="AF785" s="83"/>
      <c r="AG785" s="83"/>
      <c r="AH785" s="83"/>
      <c r="AI785" s="83"/>
      <c r="AJ785" s="83"/>
      <c r="AK785" s="83"/>
      <c r="AL785" s="83"/>
      <c r="AM785" s="83"/>
    </row>
    <row r="786" ht="13.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3"/>
      <c r="O786" s="83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  <c r="AB786" s="83"/>
      <c r="AC786" s="83"/>
      <c r="AD786" s="83"/>
      <c r="AE786" s="83"/>
      <c r="AF786" s="83"/>
      <c r="AG786" s="83"/>
      <c r="AH786" s="83"/>
      <c r="AI786" s="83"/>
      <c r="AJ786" s="83"/>
      <c r="AK786" s="83"/>
      <c r="AL786" s="83"/>
      <c r="AM786" s="83"/>
    </row>
    <row r="787" ht="13.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3"/>
      <c r="O787" s="83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  <c r="AB787" s="83"/>
      <c r="AC787" s="83"/>
      <c r="AD787" s="83"/>
      <c r="AE787" s="83"/>
      <c r="AF787" s="83"/>
      <c r="AG787" s="83"/>
      <c r="AH787" s="83"/>
      <c r="AI787" s="83"/>
      <c r="AJ787" s="83"/>
      <c r="AK787" s="83"/>
      <c r="AL787" s="83"/>
      <c r="AM787" s="83"/>
    </row>
    <row r="788" ht="13.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3"/>
      <c r="O788" s="83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  <c r="AB788" s="83"/>
      <c r="AC788" s="83"/>
      <c r="AD788" s="83"/>
      <c r="AE788" s="83"/>
      <c r="AF788" s="83"/>
      <c r="AG788" s="83"/>
      <c r="AH788" s="83"/>
      <c r="AI788" s="83"/>
      <c r="AJ788" s="83"/>
      <c r="AK788" s="83"/>
      <c r="AL788" s="83"/>
      <c r="AM788" s="83"/>
    </row>
    <row r="789" ht="13.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3"/>
      <c r="O789" s="83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  <c r="AB789" s="83"/>
      <c r="AC789" s="83"/>
      <c r="AD789" s="83"/>
      <c r="AE789" s="83"/>
      <c r="AF789" s="83"/>
      <c r="AG789" s="83"/>
      <c r="AH789" s="83"/>
      <c r="AI789" s="83"/>
      <c r="AJ789" s="83"/>
      <c r="AK789" s="83"/>
      <c r="AL789" s="83"/>
      <c r="AM789" s="83"/>
    </row>
    <row r="790" ht="13.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3"/>
      <c r="O790" s="83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  <c r="AB790" s="83"/>
      <c r="AC790" s="83"/>
      <c r="AD790" s="83"/>
      <c r="AE790" s="83"/>
      <c r="AF790" s="83"/>
      <c r="AG790" s="83"/>
      <c r="AH790" s="83"/>
      <c r="AI790" s="83"/>
      <c r="AJ790" s="83"/>
      <c r="AK790" s="83"/>
      <c r="AL790" s="83"/>
      <c r="AM790" s="83"/>
    </row>
    <row r="791" ht="13.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3"/>
      <c r="O791" s="83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  <c r="AB791" s="83"/>
      <c r="AC791" s="83"/>
      <c r="AD791" s="83"/>
      <c r="AE791" s="83"/>
      <c r="AF791" s="83"/>
      <c r="AG791" s="83"/>
      <c r="AH791" s="83"/>
      <c r="AI791" s="83"/>
      <c r="AJ791" s="83"/>
      <c r="AK791" s="83"/>
      <c r="AL791" s="83"/>
      <c r="AM791" s="83"/>
    </row>
    <row r="792" ht="13.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3"/>
      <c r="O792" s="83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  <c r="AB792" s="83"/>
      <c r="AC792" s="83"/>
      <c r="AD792" s="83"/>
      <c r="AE792" s="83"/>
      <c r="AF792" s="83"/>
      <c r="AG792" s="83"/>
      <c r="AH792" s="83"/>
      <c r="AI792" s="83"/>
      <c r="AJ792" s="83"/>
      <c r="AK792" s="83"/>
      <c r="AL792" s="83"/>
      <c r="AM792" s="83"/>
    </row>
    <row r="793" ht="13.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3"/>
      <c r="O793" s="83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  <c r="AB793" s="83"/>
      <c r="AC793" s="83"/>
      <c r="AD793" s="83"/>
      <c r="AE793" s="83"/>
      <c r="AF793" s="83"/>
      <c r="AG793" s="83"/>
      <c r="AH793" s="83"/>
      <c r="AI793" s="83"/>
      <c r="AJ793" s="83"/>
      <c r="AK793" s="83"/>
      <c r="AL793" s="83"/>
      <c r="AM793" s="83"/>
    </row>
    <row r="794" ht="13.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3"/>
      <c r="O794" s="83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  <c r="AB794" s="83"/>
      <c r="AC794" s="83"/>
      <c r="AD794" s="83"/>
      <c r="AE794" s="83"/>
      <c r="AF794" s="83"/>
      <c r="AG794" s="83"/>
      <c r="AH794" s="83"/>
      <c r="AI794" s="83"/>
      <c r="AJ794" s="83"/>
      <c r="AK794" s="83"/>
      <c r="AL794" s="83"/>
      <c r="AM794" s="83"/>
    </row>
    <row r="795" ht="13.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3"/>
      <c r="O795" s="83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  <c r="AB795" s="83"/>
      <c r="AC795" s="83"/>
      <c r="AD795" s="83"/>
      <c r="AE795" s="83"/>
      <c r="AF795" s="83"/>
      <c r="AG795" s="83"/>
      <c r="AH795" s="83"/>
      <c r="AI795" s="83"/>
      <c r="AJ795" s="83"/>
      <c r="AK795" s="83"/>
      <c r="AL795" s="83"/>
      <c r="AM795" s="83"/>
    </row>
    <row r="796" ht="13.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3"/>
      <c r="O796" s="83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  <c r="AB796" s="83"/>
      <c r="AC796" s="83"/>
      <c r="AD796" s="83"/>
      <c r="AE796" s="83"/>
      <c r="AF796" s="83"/>
      <c r="AG796" s="83"/>
      <c r="AH796" s="83"/>
      <c r="AI796" s="83"/>
      <c r="AJ796" s="83"/>
      <c r="AK796" s="83"/>
      <c r="AL796" s="83"/>
      <c r="AM796" s="83"/>
    </row>
    <row r="797" ht="13.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3"/>
      <c r="O797" s="83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  <c r="AB797" s="83"/>
      <c r="AC797" s="83"/>
      <c r="AD797" s="83"/>
      <c r="AE797" s="83"/>
      <c r="AF797" s="83"/>
      <c r="AG797" s="83"/>
      <c r="AH797" s="83"/>
      <c r="AI797" s="83"/>
      <c r="AJ797" s="83"/>
      <c r="AK797" s="83"/>
      <c r="AL797" s="83"/>
      <c r="AM797" s="83"/>
    </row>
    <row r="798" ht="13.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3"/>
      <c r="O798" s="83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  <c r="AB798" s="83"/>
      <c r="AC798" s="83"/>
      <c r="AD798" s="83"/>
      <c r="AE798" s="83"/>
      <c r="AF798" s="83"/>
      <c r="AG798" s="83"/>
      <c r="AH798" s="83"/>
      <c r="AI798" s="83"/>
      <c r="AJ798" s="83"/>
      <c r="AK798" s="83"/>
      <c r="AL798" s="83"/>
      <c r="AM798" s="83"/>
    </row>
    <row r="799" ht="13.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3"/>
      <c r="O799" s="83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  <c r="AB799" s="83"/>
      <c r="AC799" s="83"/>
      <c r="AD799" s="83"/>
      <c r="AE799" s="83"/>
      <c r="AF799" s="83"/>
      <c r="AG799" s="83"/>
      <c r="AH799" s="83"/>
      <c r="AI799" s="83"/>
      <c r="AJ799" s="83"/>
      <c r="AK799" s="83"/>
      <c r="AL799" s="83"/>
      <c r="AM799" s="83"/>
    </row>
    <row r="800" ht="13.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3"/>
      <c r="O800" s="83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  <c r="AB800" s="83"/>
      <c r="AC800" s="83"/>
      <c r="AD800" s="83"/>
      <c r="AE800" s="83"/>
      <c r="AF800" s="83"/>
      <c r="AG800" s="83"/>
      <c r="AH800" s="83"/>
      <c r="AI800" s="83"/>
      <c r="AJ800" s="83"/>
      <c r="AK800" s="83"/>
      <c r="AL800" s="83"/>
      <c r="AM800" s="83"/>
    </row>
    <row r="801" ht="13.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3"/>
      <c r="O801" s="83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  <c r="AB801" s="83"/>
      <c r="AC801" s="83"/>
      <c r="AD801" s="83"/>
      <c r="AE801" s="83"/>
      <c r="AF801" s="83"/>
      <c r="AG801" s="83"/>
      <c r="AH801" s="83"/>
      <c r="AI801" s="83"/>
      <c r="AJ801" s="83"/>
      <c r="AK801" s="83"/>
      <c r="AL801" s="83"/>
      <c r="AM801" s="83"/>
    </row>
    <row r="802" ht="13.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3"/>
      <c r="O802" s="83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  <c r="AB802" s="83"/>
      <c r="AC802" s="83"/>
      <c r="AD802" s="83"/>
      <c r="AE802" s="83"/>
      <c r="AF802" s="83"/>
      <c r="AG802" s="83"/>
      <c r="AH802" s="83"/>
      <c r="AI802" s="83"/>
      <c r="AJ802" s="83"/>
      <c r="AK802" s="83"/>
      <c r="AL802" s="83"/>
      <c r="AM802" s="83"/>
    </row>
    <row r="803" ht="13.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3"/>
      <c r="O803" s="83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  <c r="AB803" s="83"/>
      <c r="AC803" s="83"/>
      <c r="AD803" s="83"/>
      <c r="AE803" s="83"/>
      <c r="AF803" s="83"/>
      <c r="AG803" s="83"/>
      <c r="AH803" s="83"/>
      <c r="AI803" s="83"/>
      <c r="AJ803" s="83"/>
      <c r="AK803" s="83"/>
      <c r="AL803" s="83"/>
      <c r="AM803" s="83"/>
    </row>
    <row r="804" ht="13.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3"/>
      <c r="O804" s="83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  <c r="AB804" s="83"/>
      <c r="AC804" s="83"/>
      <c r="AD804" s="83"/>
      <c r="AE804" s="83"/>
      <c r="AF804" s="83"/>
      <c r="AG804" s="83"/>
      <c r="AH804" s="83"/>
      <c r="AI804" s="83"/>
      <c r="AJ804" s="83"/>
      <c r="AK804" s="83"/>
      <c r="AL804" s="83"/>
      <c r="AM804" s="83"/>
    </row>
    <row r="805" ht="13.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3"/>
      <c r="O805" s="83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  <c r="AB805" s="83"/>
      <c r="AC805" s="83"/>
      <c r="AD805" s="83"/>
      <c r="AE805" s="83"/>
      <c r="AF805" s="83"/>
      <c r="AG805" s="83"/>
      <c r="AH805" s="83"/>
      <c r="AI805" s="83"/>
      <c r="AJ805" s="83"/>
      <c r="AK805" s="83"/>
      <c r="AL805" s="83"/>
      <c r="AM805" s="83"/>
    </row>
    <row r="806" ht="13.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3"/>
      <c r="O806" s="83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  <c r="AB806" s="83"/>
      <c r="AC806" s="83"/>
      <c r="AD806" s="83"/>
      <c r="AE806" s="83"/>
      <c r="AF806" s="83"/>
      <c r="AG806" s="83"/>
      <c r="AH806" s="83"/>
      <c r="AI806" s="83"/>
      <c r="AJ806" s="83"/>
      <c r="AK806" s="83"/>
      <c r="AL806" s="83"/>
      <c r="AM806" s="83"/>
    </row>
    <row r="807" ht="13.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3"/>
      <c r="O807" s="83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  <c r="AB807" s="83"/>
      <c r="AC807" s="83"/>
      <c r="AD807" s="83"/>
      <c r="AE807" s="83"/>
      <c r="AF807" s="83"/>
      <c r="AG807" s="83"/>
      <c r="AH807" s="83"/>
      <c r="AI807" s="83"/>
      <c r="AJ807" s="83"/>
      <c r="AK807" s="83"/>
      <c r="AL807" s="83"/>
      <c r="AM807" s="83"/>
    </row>
    <row r="808" ht="13.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3"/>
      <c r="O808" s="83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  <c r="AB808" s="83"/>
      <c r="AC808" s="83"/>
      <c r="AD808" s="83"/>
      <c r="AE808" s="83"/>
      <c r="AF808" s="83"/>
      <c r="AG808" s="83"/>
      <c r="AH808" s="83"/>
      <c r="AI808" s="83"/>
      <c r="AJ808" s="83"/>
      <c r="AK808" s="83"/>
      <c r="AL808" s="83"/>
      <c r="AM808" s="83"/>
    </row>
    <row r="809" ht="13.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3"/>
      <c r="O809" s="83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  <c r="AB809" s="83"/>
      <c r="AC809" s="83"/>
      <c r="AD809" s="83"/>
      <c r="AE809" s="83"/>
      <c r="AF809" s="83"/>
      <c r="AG809" s="83"/>
      <c r="AH809" s="83"/>
      <c r="AI809" s="83"/>
      <c r="AJ809" s="83"/>
      <c r="AK809" s="83"/>
      <c r="AL809" s="83"/>
      <c r="AM809" s="83"/>
    </row>
    <row r="810" ht="13.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3"/>
      <c r="O810" s="83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  <c r="AB810" s="83"/>
      <c r="AC810" s="83"/>
      <c r="AD810" s="83"/>
      <c r="AE810" s="83"/>
      <c r="AF810" s="83"/>
      <c r="AG810" s="83"/>
      <c r="AH810" s="83"/>
      <c r="AI810" s="83"/>
      <c r="AJ810" s="83"/>
      <c r="AK810" s="83"/>
      <c r="AL810" s="83"/>
      <c r="AM810" s="83"/>
    </row>
    <row r="811" ht="13.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3"/>
      <c r="O811" s="83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  <c r="AB811" s="83"/>
      <c r="AC811" s="83"/>
      <c r="AD811" s="83"/>
      <c r="AE811" s="83"/>
      <c r="AF811" s="83"/>
      <c r="AG811" s="83"/>
      <c r="AH811" s="83"/>
      <c r="AI811" s="83"/>
      <c r="AJ811" s="83"/>
      <c r="AK811" s="83"/>
      <c r="AL811" s="83"/>
      <c r="AM811" s="83"/>
    </row>
    <row r="812" ht="13.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3"/>
      <c r="O812" s="83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  <c r="AB812" s="83"/>
      <c r="AC812" s="83"/>
      <c r="AD812" s="83"/>
      <c r="AE812" s="83"/>
      <c r="AF812" s="83"/>
      <c r="AG812" s="83"/>
      <c r="AH812" s="83"/>
      <c r="AI812" s="83"/>
      <c r="AJ812" s="83"/>
      <c r="AK812" s="83"/>
      <c r="AL812" s="83"/>
      <c r="AM812" s="83"/>
    </row>
    <row r="813" ht="13.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3"/>
      <c r="O813" s="83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  <c r="AB813" s="83"/>
      <c r="AC813" s="83"/>
      <c r="AD813" s="83"/>
      <c r="AE813" s="83"/>
      <c r="AF813" s="83"/>
      <c r="AG813" s="83"/>
      <c r="AH813" s="83"/>
      <c r="AI813" s="83"/>
      <c r="AJ813" s="83"/>
      <c r="AK813" s="83"/>
      <c r="AL813" s="83"/>
      <c r="AM813" s="83"/>
    </row>
    <row r="814" ht="13.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3"/>
      <c r="O814" s="83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  <c r="AB814" s="83"/>
      <c r="AC814" s="83"/>
      <c r="AD814" s="83"/>
      <c r="AE814" s="83"/>
      <c r="AF814" s="83"/>
      <c r="AG814" s="83"/>
      <c r="AH814" s="83"/>
      <c r="AI814" s="83"/>
      <c r="AJ814" s="83"/>
      <c r="AK814" s="83"/>
      <c r="AL814" s="83"/>
      <c r="AM814" s="83"/>
    </row>
    <row r="815" ht="13.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3"/>
      <c r="O815" s="83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  <c r="AB815" s="83"/>
      <c r="AC815" s="83"/>
      <c r="AD815" s="83"/>
      <c r="AE815" s="83"/>
      <c r="AF815" s="83"/>
      <c r="AG815" s="83"/>
      <c r="AH815" s="83"/>
      <c r="AI815" s="83"/>
      <c r="AJ815" s="83"/>
      <c r="AK815" s="83"/>
      <c r="AL815" s="83"/>
      <c r="AM815" s="83"/>
    </row>
    <row r="816" ht="13.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3"/>
      <c r="O816" s="83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  <c r="AB816" s="83"/>
      <c r="AC816" s="83"/>
      <c r="AD816" s="83"/>
      <c r="AE816" s="83"/>
      <c r="AF816" s="83"/>
      <c r="AG816" s="83"/>
      <c r="AH816" s="83"/>
      <c r="AI816" s="83"/>
      <c r="AJ816" s="83"/>
      <c r="AK816" s="83"/>
      <c r="AL816" s="83"/>
      <c r="AM816" s="83"/>
    </row>
    <row r="817" ht="13.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3"/>
      <c r="O817" s="83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  <c r="AB817" s="83"/>
      <c r="AC817" s="83"/>
      <c r="AD817" s="83"/>
      <c r="AE817" s="83"/>
      <c r="AF817" s="83"/>
      <c r="AG817" s="83"/>
      <c r="AH817" s="83"/>
      <c r="AI817" s="83"/>
      <c r="AJ817" s="83"/>
      <c r="AK817" s="83"/>
      <c r="AL817" s="83"/>
      <c r="AM817" s="83"/>
    </row>
    <row r="818" ht="13.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3"/>
      <c r="O818" s="83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  <c r="AB818" s="83"/>
      <c r="AC818" s="83"/>
      <c r="AD818" s="83"/>
      <c r="AE818" s="83"/>
      <c r="AF818" s="83"/>
      <c r="AG818" s="83"/>
      <c r="AH818" s="83"/>
      <c r="AI818" s="83"/>
      <c r="AJ818" s="83"/>
      <c r="AK818" s="83"/>
      <c r="AL818" s="83"/>
      <c r="AM818" s="83"/>
    </row>
    <row r="819" ht="13.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3"/>
      <c r="O819" s="83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  <c r="AB819" s="83"/>
      <c r="AC819" s="83"/>
      <c r="AD819" s="83"/>
      <c r="AE819" s="83"/>
      <c r="AF819" s="83"/>
      <c r="AG819" s="83"/>
      <c r="AH819" s="83"/>
      <c r="AI819" s="83"/>
      <c r="AJ819" s="83"/>
      <c r="AK819" s="83"/>
      <c r="AL819" s="83"/>
      <c r="AM819" s="83"/>
    </row>
    <row r="820" ht="13.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3"/>
      <c r="O820" s="83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  <c r="AB820" s="83"/>
      <c r="AC820" s="83"/>
      <c r="AD820" s="83"/>
      <c r="AE820" s="83"/>
      <c r="AF820" s="83"/>
      <c r="AG820" s="83"/>
      <c r="AH820" s="83"/>
      <c r="AI820" s="83"/>
      <c r="AJ820" s="83"/>
      <c r="AK820" s="83"/>
      <c r="AL820" s="83"/>
      <c r="AM820" s="83"/>
    </row>
    <row r="821" ht="13.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3"/>
      <c r="O821" s="83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  <c r="AB821" s="83"/>
      <c r="AC821" s="83"/>
      <c r="AD821" s="83"/>
      <c r="AE821" s="83"/>
      <c r="AF821" s="83"/>
      <c r="AG821" s="83"/>
      <c r="AH821" s="83"/>
      <c r="AI821" s="83"/>
      <c r="AJ821" s="83"/>
      <c r="AK821" s="83"/>
      <c r="AL821" s="83"/>
      <c r="AM821" s="83"/>
    </row>
    <row r="822" ht="13.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3"/>
      <c r="O822" s="83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  <c r="AB822" s="83"/>
      <c r="AC822" s="83"/>
      <c r="AD822" s="83"/>
      <c r="AE822" s="83"/>
      <c r="AF822" s="83"/>
      <c r="AG822" s="83"/>
      <c r="AH822" s="83"/>
      <c r="AI822" s="83"/>
      <c r="AJ822" s="83"/>
      <c r="AK822" s="83"/>
      <c r="AL822" s="83"/>
      <c r="AM822" s="83"/>
    </row>
    <row r="823" ht="13.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3"/>
      <c r="O823" s="83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  <c r="AB823" s="83"/>
      <c r="AC823" s="83"/>
      <c r="AD823" s="83"/>
      <c r="AE823" s="83"/>
      <c r="AF823" s="83"/>
      <c r="AG823" s="83"/>
      <c r="AH823" s="83"/>
      <c r="AI823" s="83"/>
      <c r="AJ823" s="83"/>
      <c r="AK823" s="83"/>
      <c r="AL823" s="83"/>
      <c r="AM823" s="83"/>
    </row>
    <row r="824" ht="13.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3"/>
      <c r="O824" s="83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  <c r="AB824" s="83"/>
      <c r="AC824" s="83"/>
      <c r="AD824" s="83"/>
      <c r="AE824" s="83"/>
      <c r="AF824" s="83"/>
      <c r="AG824" s="83"/>
      <c r="AH824" s="83"/>
      <c r="AI824" s="83"/>
      <c r="AJ824" s="83"/>
      <c r="AK824" s="83"/>
      <c r="AL824" s="83"/>
      <c r="AM824" s="83"/>
    </row>
    <row r="825" ht="13.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3"/>
      <c r="O825" s="83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  <c r="AB825" s="83"/>
      <c r="AC825" s="83"/>
      <c r="AD825" s="83"/>
      <c r="AE825" s="83"/>
      <c r="AF825" s="83"/>
      <c r="AG825" s="83"/>
      <c r="AH825" s="83"/>
      <c r="AI825" s="83"/>
      <c r="AJ825" s="83"/>
      <c r="AK825" s="83"/>
      <c r="AL825" s="83"/>
      <c r="AM825" s="83"/>
    </row>
    <row r="826" ht="13.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3"/>
      <c r="O826" s="83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  <c r="AB826" s="83"/>
      <c r="AC826" s="83"/>
      <c r="AD826" s="83"/>
      <c r="AE826" s="83"/>
      <c r="AF826" s="83"/>
      <c r="AG826" s="83"/>
      <c r="AH826" s="83"/>
      <c r="AI826" s="83"/>
      <c r="AJ826" s="83"/>
      <c r="AK826" s="83"/>
      <c r="AL826" s="83"/>
      <c r="AM826" s="83"/>
    </row>
    <row r="827" ht="13.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3"/>
      <c r="O827" s="83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  <c r="AB827" s="83"/>
      <c r="AC827" s="83"/>
      <c r="AD827" s="83"/>
      <c r="AE827" s="83"/>
      <c r="AF827" s="83"/>
      <c r="AG827" s="83"/>
      <c r="AH827" s="83"/>
      <c r="AI827" s="83"/>
      <c r="AJ827" s="83"/>
      <c r="AK827" s="83"/>
      <c r="AL827" s="83"/>
      <c r="AM827" s="83"/>
    </row>
    <row r="828" ht="13.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3"/>
      <c r="O828" s="83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  <c r="AB828" s="83"/>
      <c r="AC828" s="83"/>
      <c r="AD828" s="83"/>
      <c r="AE828" s="83"/>
      <c r="AF828" s="83"/>
      <c r="AG828" s="83"/>
      <c r="AH828" s="83"/>
      <c r="AI828" s="83"/>
      <c r="AJ828" s="83"/>
      <c r="AK828" s="83"/>
      <c r="AL828" s="83"/>
      <c r="AM828" s="83"/>
    </row>
    <row r="829" ht="13.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3"/>
      <c r="O829" s="83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  <c r="AB829" s="83"/>
      <c r="AC829" s="83"/>
      <c r="AD829" s="83"/>
      <c r="AE829" s="83"/>
      <c r="AF829" s="83"/>
      <c r="AG829" s="83"/>
      <c r="AH829" s="83"/>
      <c r="AI829" s="83"/>
      <c r="AJ829" s="83"/>
      <c r="AK829" s="83"/>
      <c r="AL829" s="83"/>
      <c r="AM829" s="83"/>
    </row>
    <row r="830" ht="13.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3"/>
      <c r="O830" s="83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  <c r="AB830" s="83"/>
      <c r="AC830" s="83"/>
      <c r="AD830" s="83"/>
      <c r="AE830" s="83"/>
      <c r="AF830" s="83"/>
      <c r="AG830" s="83"/>
      <c r="AH830" s="83"/>
      <c r="AI830" s="83"/>
      <c r="AJ830" s="83"/>
      <c r="AK830" s="83"/>
      <c r="AL830" s="83"/>
      <c r="AM830" s="83"/>
    </row>
    <row r="831" ht="13.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3"/>
      <c r="O831" s="83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  <c r="AB831" s="83"/>
      <c r="AC831" s="83"/>
      <c r="AD831" s="83"/>
      <c r="AE831" s="83"/>
      <c r="AF831" s="83"/>
      <c r="AG831" s="83"/>
      <c r="AH831" s="83"/>
      <c r="AI831" s="83"/>
      <c r="AJ831" s="83"/>
      <c r="AK831" s="83"/>
      <c r="AL831" s="83"/>
      <c r="AM831" s="83"/>
    </row>
    <row r="832" ht="13.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3"/>
      <c r="O832" s="83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  <c r="AB832" s="83"/>
      <c r="AC832" s="83"/>
      <c r="AD832" s="83"/>
      <c r="AE832" s="83"/>
      <c r="AF832" s="83"/>
      <c r="AG832" s="83"/>
      <c r="AH832" s="83"/>
      <c r="AI832" s="83"/>
      <c r="AJ832" s="83"/>
      <c r="AK832" s="83"/>
      <c r="AL832" s="83"/>
      <c r="AM832" s="83"/>
    </row>
    <row r="833" ht="13.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3"/>
      <c r="O833" s="83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  <c r="AB833" s="83"/>
      <c r="AC833" s="83"/>
      <c r="AD833" s="83"/>
      <c r="AE833" s="83"/>
      <c r="AF833" s="83"/>
      <c r="AG833" s="83"/>
      <c r="AH833" s="83"/>
      <c r="AI833" s="83"/>
      <c r="AJ833" s="83"/>
      <c r="AK833" s="83"/>
      <c r="AL833" s="83"/>
      <c r="AM833" s="83"/>
    </row>
    <row r="834" ht="13.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3"/>
      <c r="O834" s="83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  <c r="AB834" s="83"/>
      <c r="AC834" s="83"/>
      <c r="AD834" s="83"/>
      <c r="AE834" s="83"/>
      <c r="AF834" s="83"/>
      <c r="AG834" s="83"/>
      <c r="AH834" s="83"/>
      <c r="AI834" s="83"/>
      <c r="AJ834" s="83"/>
      <c r="AK834" s="83"/>
      <c r="AL834" s="83"/>
      <c r="AM834" s="83"/>
    </row>
    <row r="835" ht="13.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3"/>
      <c r="O835" s="83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  <c r="AB835" s="83"/>
      <c r="AC835" s="83"/>
      <c r="AD835" s="83"/>
      <c r="AE835" s="83"/>
      <c r="AF835" s="83"/>
      <c r="AG835" s="83"/>
      <c r="AH835" s="83"/>
      <c r="AI835" s="83"/>
      <c r="AJ835" s="83"/>
      <c r="AK835" s="83"/>
      <c r="AL835" s="83"/>
      <c r="AM835" s="83"/>
    </row>
    <row r="836" ht="13.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3"/>
      <c r="O836" s="83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  <c r="AB836" s="83"/>
      <c r="AC836" s="83"/>
      <c r="AD836" s="83"/>
      <c r="AE836" s="83"/>
      <c r="AF836" s="83"/>
      <c r="AG836" s="83"/>
      <c r="AH836" s="83"/>
      <c r="AI836" s="83"/>
      <c r="AJ836" s="83"/>
      <c r="AK836" s="83"/>
      <c r="AL836" s="83"/>
      <c r="AM836" s="83"/>
    </row>
    <row r="837" ht="13.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3"/>
      <c r="O837" s="83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  <c r="AB837" s="83"/>
      <c r="AC837" s="83"/>
      <c r="AD837" s="83"/>
      <c r="AE837" s="83"/>
      <c r="AF837" s="83"/>
      <c r="AG837" s="83"/>
      <c r="AH837" s="83"/>
      <c r="AI837" s="83"/>
      <c r="AJ837" s="83"/>
      <c r="AK837" s="83"/>
      <c r="AL837" s="83"/>
      <c r="AM837" s="83"/>
    </row>
    <row r="838" ht="13.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3"/>
      <c r="O838" s="83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  <c r="AB838" s="83"/>
      <c r="AC838" s="83"/>
      <c r="AD838" s="83"/>
      <c r="AE838" s="83"/>
      <c r="AF838" s="83"/>
      <c r="AG838" s="83"/>
      <c r="AH838" s="83"/>
      <c r="AI838" s="83"/>
      <c r="AJ838" s="83"/>
      <c r="AK838" s="83"/>
      <c r="AL838" s="83"/>
      <c r="AM838" s="83"/>
    </row>
    <row r="839" ht="13.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3"/>
      <c r="O839" s="83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3"/>
      <c r="AD839" s="83"/>
      <c r="AE839" s="83"/>
      <c r="AF839" s="83"/>
      <c r="AG839" s="83"/>
      <c r="AH839" s="83"/>
      <c r="AI839" s="83"/>
      <c r="AJ839" s="83"/>
      <c r="AK839" s="83"/>
      <c r="AL839" s="83"/>
      <c r="AM839" s="83"/>
    </row>
    <row r="840" ht="13.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3"/>
      <c r="O840" s="83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  <c r="AB840" s="83"/>
      <c r="AC840" s="83"/>
      <c r="AD840" s="83"/>
      <c r="AE840" s="83"/>
      <c r="AF840" s="83"/>
      <c r="AG840" s="83"/>
      <c r="AH840" s="83"/>
      <c r="AI840" s="83"/>
      <c r="AJ840" s="83"/>
      <c r="AK840" s="83"/>
      <c r="AL840" s="83"/>
      <c r="AM840" s="83"/>
    </row>
    <row r="841" ht="13.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3"/>
      <c r="O841" s="83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  <c r="AB841" s="83"/>
      <c r="AC841" s="83"/>
      <c r="AD841" s="83"/>
      <c r="AE841" s="83"/>
      <c r="AF841" s="83"/>
      <c r="AG841" s="83"/>
      <c r="AH841" s="83"/>
      <c r="AI841" s="83"/>
      <c r="AJ841" s="83"/>
      <c r="AK841" s="83"/>
      <c r="AL841" s="83"/>
      <c r="AM841" s="83"/>
    </row>
    <row r="842" ht="13.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3"/>
      <c r="O842" s="83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  <c r="AB842" s="83"/>
      <c r="AC842" s="83"/>
      <c r="AD842" s="83"/>
      <c r="AE842" s="83"/>
      <c r="AF842" s="83"/>
      <c r="AG842" s="83"/>
      <c r="AH842" s="83"/>
      <c r="AI842" s="83"/>
      <c r="AJ842" s="83"/>
      <c r="AK842" s="83"/>
      <c r="AL842" s="83"/>
      <c r="AM842" s="83"/>
    </row>
    <row r="843" ht="13.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3"/>
      <c r="O843" s="83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  <c r="AB843" s="83"/>
      <c r="AC843" s="83"/>
      <c r="AD843" s="83"/>
      <c r="AE843" s="83"/>
      <c r="AF843" s="83"/>
      <c r="AG843" s="83"/>
      <c r="AH843" s="83"/>
      <c r="AI843" s="83"/>
      <c r="AJ843" s="83"/>
      <c r="AK843" s="83"/>
      <c r="AL843" s="83"/>
      <c r="AM843" s="83"/>
    </row>
    <row r="844" ht="13.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3"/>
      <c r="O844" s="83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  <c r="AB844" s="83"/>
      <c r="AC844" s="83"/>
      <c r="AD844" s="83"/>
      <c r="AE844" s="83"/>
      <c r="AF844" s="83"/>
      <c r="AG844" s="83"/>
      <c r="AH844" s="83"/>
      <c r="AI844" s="83"/>
      <c r="AJ844" s="83"/>
      <c r="AK844" s="83"/>
      <c r="AL844" s="83"/>
      <c r="AM844" s="83"/>
    </row>
    <row r="845" ht="13.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3"/>
      <c r="O845" s="83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  <c r="AB845" s="83"/>
      <c r="AC845" s="83"/>
      <c r="AD845" s="83"/>
      <c r="AE845" s="83"/>
      <c r="AF845" s="83"/>
      <c r="AG845" s="83"/>
      <c r="AH845" s="83"/>
      <c r="AI845" s="83"/>
      <c r="AJ845" s="83"/>
      <c r="AK845" s="83"/>
      <c r="AL845" s="83"/>
      <c r="AM845" s="83"/>
    </row>
    <row r="846" ht="13.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3"/>
      <c r="O846" s="83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  <c r="AB846" s="83"/>
      <c r="AC846" s="83"/>
      <c r="AD846" s="83"/>
      <c r="AE846" s="83"/>
      <c r="AF846" s="83"/>
      <c r="AG846" s="83"/>
      <c r="AH846" s="83"/>
      <c r="AI846" s="83"/>
      <c r="AJ846" s="83"/>
      <c r="AK846" s="83"/>
      <c r="AL846" s="83"/>
      <c r="AM846" s="83"/>
    </row>
    <row r="847" ht="13.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3"/>
      <c r="O847" s="83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  <c r="AB847" s="83"/>
      <c r="AC847" s="83"/>
      <c r="AD847" s="83"/>
      <c r="AE847" s="83"/>
      <c r="AF847" s="83"/>
      <c r="AG847" s="83"/>
      <c r="AH847" s="83"/>
      <c r="AI847" s="83"/>
      <c r="AJ847" s="83"/>
      <c r="AK847" s="83"/>
      <c r="AL847" s="83"/>
      <c r="AM847" s="83"/>
    </row>
    <row r="848" ht="13.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3"/>
      <c r="O848" s="83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  <c r="AB848" s="83"/>
      <c r="AC848" s="83"/>
      <c r="AD848" s="83"/>
      <c r="AE848" s="83"/>
      <c r="AF848" s="83"/>
      <c r="AG848" s="83"/>
      <c r="AH848" s="83"/>
      <c r="AI848" s="83"/>
      <c r="AJ848" s="83"/>
      <c r="AK848" s="83"/>
      <c r="AL848" s="83"/>
      <c r="AM848" s="83"/>
    </row>
    <row r="849" ht="13.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3"/>
      <c r="O849" s="83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  <c r="AB849" s="83"/>
      <c r="AC849" s="83"/>
      <c r="AD849" s="83"/>
      <c r="AE849" s="83"/>
      <c r="AF849" s="83"/>
      <c r="AG849" s="83"/>
      <c r="AH849" s="83"/>
      <c r="AI849" s="83"/>
      <c r="AJ849" s="83"/>
      <c r="AK849" s="83"/>
      <c r="AL849" s="83"/>
      <c r="AM849" s="83"/>
    </row>
    <row r="850" ht="13.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3"/>
      <c r="O850" s="83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  <c r="AB850" s="83"/>
      <c r="AC850" s="83"/>
      <c r="AD850" s="83"/>
      <c r="AE850" s="83"/>
      <c r="AF850" s="83"/>
      <c r="AG850" s="83"/>
      <c r="AH850" s="83"/>
      <c r="AI850" s="83"/>
      <c r="AJ850" s="83"/>
      <c r="AK850" s="83"/>
      <c r="AL850" s="83"/>
      <c r="AM850" s="83"/>
    </row>
    <row r="851" ht="13.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3"/>
      <c r="O851" s="83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  <c r="AB851" s="83"/>
      <c r="AC851" s="83"/>
      <c r="AD851" s="83"/>
      <c r="AE851" s="83"/>
      <c r="AF851" s="83"/>
      <c r="AG851" s="83"/>
      <c r="AH851" s="83"/>
      <c r="AI851" s="83"/>
      <c r="AJ851" s="83"/>
      <c r="AK851" s="83"/>
      <c r="AL851" s="83"/>
      <c r="AM851" s="83"/>
    </row>
    <row r="852" ht="13.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3"/>
      <c r="O852" s="83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  <c r="AB852" s="83"/>
      <c r="AC852" s="83"/>
      <c r="AD852" s="83"/>
      <c r="AE852" s="83"/>
      <c r="AF852" s="83"/>
      <c r="AG852" s="83"/>
      <c r="AH852" s="83"/>
      <c r="AI852" s="83"/>
      <c r="AJ852" s="83"/>
      <c r="AK852" s="83"/>
      <c r="AL852" s="83"/>
      <c r="AM852" s="83"/>
    </row>
    <row r="853" ht="13.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3"/>
      <c r="O853" s="83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  <c r="AB853" s="83"/>
      <c r="AC853" s="83"/>
      <c r="AD853" s="83"/>
      <c r="AE853" s="83"/>
      <c r="AF853" s="83"/>
      <c r="AG853" s="83"/>
      <c r="AH853" s="83"/>
      <c r="AI853" s="83"/>
      <c r="AJ853" s="83"/>
      <c r="AK853" s="83"/>
      <c r="AL853" s="83"/>
      <c r="AM853" s="83"/>
    </row>
    <row r="854" ht="13.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3"/>
      <c r="O854" s="83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  <c r="AB854" s="83"/>
      <c r="AC854" s="83"/>
      <c r="AD854" s="83"/>
      <c r="AE854" s="83"/>
      <c r="AF854" s="83"/>
      <c r="AG854" s="83"/>
      <c r="AH854" s="83"/>
      <c r="AI854" s="83"/>
      <c r="AJ854" s="83"/>
      <c r="AK854" s="83"/>
      <c r="AL854" s="83"/>
      <c r="AM854" s="83"/>
    </row>
    <row r="855" ht="13.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3"/>
      <c r="O855" s="83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  <c r="AB855" s="83"/>
      <c r="AC855" s="83"/>
      <c r="AD855" s="83"/>
      <c r="AE855" s="83"/>
      <c r="AF855" s="83"/>
      <c r="AG855" s="83"/>
      <c r="AH855" s="83"/>
      <c r="AI855" s="83"/>
      <c r="AJ855" s="83"/>
      <c r="AK855" s="83"/>
      <c r="AL855" s="83"/>
      <c r="AM855" s="83"/>
    </row>
    <row r="856" ht="13.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3"/>
      <c r="O856" s="83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  <c r="AB856" s="83"/>
      <c r="AC856" s="83"/>
      <c r="AD856" s="83"/>
      <c r="AE856" s="83"/>
      <c r="AF856" s="83"/>
      <c r="AG856" s="83"/>
      <c r="AH856" s="83"/>
      <c r="AI856" s="83"/>
      <c r="AJ856" s="83"/>
      <c r="AK856" s="83"/>
      <c r="AL856" s="83"/>
      <c r="AM856" s="83"/>
    </row>
    <row r="857" ht="13.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3"/>
      <c r="O857" s="83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  <c r="AB857" s="83"/>
      <c r="AC857" s="83"/>
      <c r="AD857" s="83"/>
      <c r="AE857" s="83"/>
      <c r="AF857" s="83"/>
      <c r="AG857" s="83"/>
      <c r="AH857" s="83"/>
      <c r="AI857" s="83"/>
      <c r="AJ857" s="83"/>
      <c r="AK857" s="83"/>
      <c r="AL857" s="83"/>
      <c r="AM857" s="83"/>
    </row>
    <row r="858" ht="13.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3"/>
      <c r="O858" s="83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  <c r="AB858" s="83"/>
      <c r="AC858" s="83"/>
      <c r="AD858" s="83"/>
      <c r="AE858" s="83"/>
      <c r="AF858" s="83"/>
      <c r="AG858" s="83"/>
      <c r="AH858" s="83"/>
      <c r="AI858" s="83"/>
      <c r="AJ858" s="83"/>
      <c r="AK858" s="83"/>
      <c r="AL858" s="83"/>
      <c r="AM858" s="83"/>
    </row>
    <row r="859" ht="13.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3"/>
      <c r="O859" s="83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  <c r="AB859" s="83"/>
      <c r="AC859" s="83"/>
      <c r="AD859" s="83"/>
      <c r="AE859" s="83"/>
      <c r="AF859" s="83"/>
      <c r="AG859" s="83"/>
      <c r="AH859" s="83"/>
      <c r="AI859" s="83"/>
      <c r="AJ859" s="83"/>
      <c r="AK859" s="83"/>
      <c r="AL859" s="83"/>
      <c r="AM859" s="83"/>
    </row>
    <row r="860" ht="13.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3"/>
      <c r="O860" s="83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  <c r="AB860" s="83"/>
      <c r="AC860" s="83"/>
      <c r="AD860" s="83"/>
      <c r="AE860" s="83"/>
      <c r="AF860" s="83"/>
      <c r="AG860" s="83"/>
      <c r="AH860" s="83"/>
      <c r="AI860" s="83"/>
      <c r="AJ860" s="83"/>
      <c r="AK860" s="83"/>
      <c r="AL860" s="83"/>
      <c r="AM860" s="83"/>
    </row>
    <row r="861" ht="13.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3"/>
      <c r="O861" s="83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  <c r="AB861" s="83"/>
      <c r="AC861" s="83"/>
      <c r="AD861" s="83"/>
      <c r="AE861" s="83"/>
      <c r="AF861" s="83"/>
      <c r="AG861" s="83"/>
      <c r="AH861" s="83"/>
      <c r="AI861" s="83"/>
      <c r="AJ861" s="83"/>
      <c r="AK861" s="83"/>
      <c r="AL861" s="83"/>
      <c r="AM861" s="83"/>
    </row>
    <row r="862" ht="13.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3"/>
      <c r="O862" s="83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  <c r="AB862" s="83"/>
      <c r="AC862" s="83"/>
      <c r="AD862" s="83"/>
      <c r="AE862" s="83"/>
      <c r="AF862" s="83"/>
      <c r="AG862" s="83"/>
      <c r="AH862" s="83"/>
      <c r="AI862" s="83"/>
      <c r="AJ862" s="83"/>
      <c r="AK862" s="83"/>
      <c r="AL862" s="83"/>
      <c r="AM862" s="83"/>
    </row>
    <row r="863" ht="13.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3"/>
      <c r="O863" s="83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  <c r="AB863" s="83"/>
      <c r="AC863" s="83"/>
      <c r="AD863" s="83"/>
      <c r="AE863" s="83"/>
      <c r="AF863" s="83"/>
      <c r="AG863" s="83"/>
      <c r="AH863" s="83"/>
      <c r="AI863" s="83"/>
      <c r="AJ863" s="83"/>
      <c r="AK863" s="83"/>
      <c r="AL863" s="83"/>
      <c r="AM863" s="83"/>
    </row>
    <row r="864" ht="13.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3"/>
      <c r="O864" s="83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  <c r="AB864" s="83"/>
      <c r="AC864" s="83"/>
      <c r="AD864" s="83"/>
      <c r="AE864" s="83"/>
      <c r="AF864" s="83"/>
      <c r="AG864" s="83"/>
      <c r="AH864" s="83"/>
      <c r="AI864" s="83"/>
      <c r="AJ864" s="83"/>
      <c r="AK864" s="83"/>
      <c r="AL864" s="83"/>
      <c r="AM864" s="83"/>
    </row>
    <row r="865" ht="13.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3"/>
      <c r="O865" s="83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  <c r="AB865" s="83"/>
      <c r="AC865" s="83"/>
      <c r="AD865" s="83"/>
      <c r="AE865" s="83"/>
      <c r="AF865" s="83"/>
      <c r="AG865" s="83"/>
      <c r="AH865" s="83"/>
      <c r="AI865" s="83"/>
      <c r="AJ865" s="83"/>
      <c r="AK865" s="83"/>
      <c r="AL865" s="83"/>
      <c r="AM865" s="83"/>
    </row>
    <row r="866" ht="13.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3"/>
      <c r="O866" s="83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  <c r="AB866" s="83"/>
      <c r="AC866" s="83"/>
      <c r="AD866" s="83"/>
      <c r="AE866" s="83"/>
      <c r="AF866" s="83"/>
      <c r="AG866" s="83"/>
      <c r="AH866" s="83"/>
      <c r="AI866" s="83"/>
      <c r="AJ866" s="83"/>
      <c r="AK866" s="83"/>
      <c r="AL866" s="83"/>
      <c r="AM866" s="83"/>
    </row>
    <row r="867" ht="13.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3"/>
      <c r="O867" s="83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  <c r="AB867" s="83"/>
      <c r="AC867" s="83"/>
      <c r="AD867" s="83"/>
      <c r="AE867" s="83"/>
      <c r="AF867" s="83"/>
      <c r="AG867" s="83"/>
      <c r="AH867" s="83"/>
      <c r="AI867" s="83"/>
      <c r="AJ867" s="83"/>
      <c r="AK867" s="83"/>
      <c r="AL867" s="83"/>
      <c r="AM867" s="83"/>
    </row>
    <row r="868" ht="13.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3"/>
      <c r="O868" s="83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  <c r="AB868" s="83"/>
      <c r="AC868" s="83"/>
      <c r="AD868" s="83"/>
      <c r="AE868" s="83"/>
      <c r="AF868" s="83"/>
      <c r="AG868" s="83"/>
      <c r="AH868" s="83"/>
      <c r="AI868" s="83"/>
      <c r="AJ868" s="83"/>
      <c r="AK868" s="83"/>
      <c r="AL868" s="83"/>
      <c r="AM868" s="83"/>
    </row>
    <row r="869" ht="13.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3"/>
      <c r="O869" s="83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  <c r="AB869" s="83"/>
      <c r="AC869" s="83"/>
      <c r="AD869" s="83"/>
      <c r="AE869" s="83"/>
      <c r="AF869" s="83"/>
      <c r="AG869" s="83"/>
      <c r="AH869" s="83"/>
      <c r="AI869" s="83"/>
      <c r="AJ869" s="83"/>
      <c r="AK869" s="83"/>
      <c r="AL869" s="83"/>
      <c r="AM869" s="83"/>
    </row>
    <row r="870" ht="13.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3"/>
      <c r="O870" s="83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  <c r="AB870" s="83"/>
      <c r="AC870" s="83"/>
      <c r="AD870" s="83"/>
      <c r="AE870" s="83"/>
      <c r="AF870" s="83"/>
      <c r="AG870" s="83"/>
      <c r="AH870" s="83"/>
      <c r="AI870" s="83"/>
      <c r="AJ870" s="83"/>
      <c r="AK870" s="83"/>
      <c r="AL870" s="83"/>
      <c r="AM870" s="83"/>
    </row>
    <row r="871" ht="13.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3"/>
      <c r="O871" s="83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  <c r="AB871" s="83"/>
      <c r="AC871" s="83"/>
      <c r="AD871" s="83"/>
      <c r="AE871" s="83"/>
      <c r="AF871" s="83"/>
      <c r="AG871" s="83"/>
      <c r="AH871" s="83"/>
      <c r="AI871" s="83"/>
      <c r="AJ871" s="83"/>
      <c r="AK871" s="83"/>
      <c r="AL871" s="83"/>
      <c r="AM871" s="83"/>
    </row>
    <row r="872" ht="13.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3"/>
      <c r="O872" s="83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  <c r="AB872" s="83"/>
      <c r="AC872" s="83"/>
      <c r="AD872" s="83"/>
      <c r="AE872" s="83"/>
      <c r="AF872" s="83"/>
      <c r="AG872" s="83"/>
      <c r="AH872" s="83"/>
      <c r="AI872" s="83"/>
      <c r="AJ872" s="83"/>
      <c r="AK872" s="83"/>
      <c r="AL872" s="83"/>
      <c r="AM872" s="83"/>
    </row>
    <row r="873" ht="13.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3"/>
      <c r="O873" s="83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  <c r="AB873" s="83"/>
      <c r="AC873" s="83"/>
      <c r="AD873" s="83"/>
      <c r="AE873" s="83"/>
      <c r="AF873" s="83"/>
      <c r="AG873" s="83"/>
      <c r="AH873" s="83"/>
      <c r="AI873" s="83"/>
      <c r="AJ873" s="83"/>
      <c r="AK873" s="83"/>
      <c r="AL873" s="83"/>
      <c r="AM873" s="83"/>
    </row>
    <row r="874" ht="13.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3"/>
      <c r="O874" s="83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  <c r="AB874" s="83"/>
      <c r="AC874" s="83"/>
      <c r="AD874" s="83"/>
      <c r="AE874" s="83"/>
      <c r="AF874" s="83"/>
      <c r="AG874" s="83"/>
      <c r="AH874" s="83"/>
      <c r="AI874" s="83"/>
      <c r="AJ874" s="83"/>
      <c r="AK874" s="83"/>
      <c r="AL874" s="83"/>
      <c r="AM874" s="83"/>
    </row>
    <row r="875" ht="13.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3"/>
      <c r="O875" s="83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  <c r="AB875" s="83"/>
      <c r="AC875" s="83"/>
      <c r="AD875" s="83"/>
      <c r="AE875" s="83"/>
      <c r="AF875" s="83"/>
      <c r="AG875" s="83"/>
      <c r="AH875" s="83"/>
      <c r="AI875" s="83"/>
      <c r="AJ875" s="83"/>
      <c r="AK875" s="83"/>
      <c r="AL875" s="83"/>
      <c r="AM875" s="83"/>
    </row>
    <row r="876" ht="13.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3"/>
      <c r="O876" s="83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  <c r="AB876" s="83"/>
      <c r="AC876" s="83"/>
      <c r="AD876" s="83"/>
      <c r="AE876" s="83"/>
      <c r="AF876" s="83"/>
      <c r="AG876" s="83"/>
      <c r="AH876" s="83"/>
      <c r="AI876" s="83"/>
      <c r="AJ876" s="83"/>
      <c r="AK876" s="83"/>
      <c r="AL876" s="83"/>
      <c r="AM876" s="83"/>
    </row>
    <row r="877" ht="13.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3"/>
      <c r="O877" s="83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  <c r="AB877" s="83"/>
      <c r="AC877" s="83"/>
      <c r="AD877" s="83"/>
      <c r="AE877" s="83"/>
      <c r="AF877" s="83"/>
      <c r="AG877" s="83"/>
      <c r="AH877" s="83"/>
      <c r="AI877" s="83"/>
      <c r="AJ877" s="83"/>
      <c r="AK877" s="83"/>
      <c r="AL877" s="83"/>
      <c r="AM877" s="83"/>
    </row>
    <row r="878" ht="13.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3"/>
      <c r="O878" s="83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  <c r="AB878" s="83"/>
      <c r="AC878" s="83"/>
      <c r="AD878" s="83"/>
      <c r="AE878" s="83"/>
      <c r="AF878" s="83"/>
      <c r="AG878" s="83"/>
      <c r="AH878" s="83"/>
      <c r="AI878" s="83"/>
      <c r="AJ878" s="83"/>
      <c r="AK878" s="83"/>
      <c r="AL878" s="83"/>
      <c r="AM878" s="83"/>
    </row>
    <row r="879" ht="13.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3"/>
      <c r="O879" s="83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  <c r="AB879" s="83"/>
      <c r="AC879" s="83"/>
      <c r="AD879" s="83"/>
      <c r="AE879" s="83"/>
      <c r="AF879" s="83"/>
      <c r="AG879" s="83"/>
      <c r="AH879" s="83"/>
      <c r="AI879" s="83"/>
      <c r="AJ879" s="83"/>
      <c r="AK879" s="83"/>
      <c r="AL879" s="83"/>
      <c r="AM879" s="83"/>
    </row>
    <row r="880" ht="13.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3"/>
      <c r="O880" s="83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  <c r="AB880" s="83"/>
      <c r="AC880" s="83"/>
      <c r="AD880" s="83"/>
      <c r="AE880" s="83"/>
      <c r="AF880" s="83"/>
      <c r="AG880" s="83"/>
      <c r="AH880" s="83"/>
      <c r="AI880" s="83"/>
      <c r="AJ880" s="83"/>
      <c r="AK880" s="83"/>
      <c r="AL880" s="83"/>
      <c r="AM880" s="83"/>
    </row>
    <row r="881" ht="13.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3"/>
      <c r="O881" s="83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  <c r="AB881" s="83"/>
      <c r="AC881" s="83"/>
      <c r="AD881" s="83"/>
      <c r="AE881" s="83"/>
      <c r="AF881" s="83"/>
      <c r="AG881" s="83"/>
      <c r="AH881" s="83"/>
      <c r="AI881" s="83"/>
      <c r="AJ881" s="83"/>
      <c r="AK881" s="83"/>
      <c r="AL881" s="83"/>
      <c r="AM881" s="83"/>
    </row>
    <row r="882" ht="13.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3"/>
      <c r="O882" s="83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  <c r="AB882" s="83"/>
      <c r="AC882" s="83"/>
      <c r="AD882" s="83"/>
      <c r="AE882" s="83"/>
      <c r="AF882" s="83"/>
      <c r="AG882" s="83"/>
      <c r="AH882" s="83"/>
      <c r="AI882" s="83"/>
      <c r="AJ882" s="83"/>
      <c r="AK882" s="83"/>
      <c r="AL882" s="83"/>
      <c r="AM882" s="83"/>
    </row>
    <row r="883" ht="13.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3"/>
      <c r="O883" s="83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  <c r="AB883" s="83"/>
      <c r="AC883" s="83"/>
      <c r="AD883" s="83"/>
      <c r="AE883" s="83"/>
      <c r="AF883" s="83"/>
      <c r="AG883" s="83"/>
      <c r="AH883" s="83"/>
      <c r="AI883" s="83"/>
      <c r="AJ883" s="83"/>
      <c r="AK883" s="83"/>
      <c r="AL883" s="83"/>
      <c r="AM883" s="83"/>
    </row>
    <row r="884" ht="13.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3"/>
      <c r="O884" s="83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  <c r="AB884" s="83"/>
      <c r="AC884" s="83"/>
      <c r="AD884" s="83"/>
      <c r="AE884" s="83"/>
      <c r="AF884" s="83"/>
      <c r="AG884" s="83"/>
      <c r="AH884" s="83"/>
      <c r="AI884" s="83"/>
      <c r="AJ884" s="83"/>
      <c r="AK884" s="83"/>
      <c r="AL884" s="83"/>
      <c r="AM884" s="83"/>
    </row>
    <row r="885" ht="13.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3"/>
      <c r="O885" s="83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  <c r="AB885" s="83"/>
      <c r="AC885" s="83"/>
      <c r="AD885" s="83"/>
      <c r="AE885" s="83"/>
      <c r="AF885" s="83"/>
      <c r="AG885" s="83"/>
      <c r="AH885" s="83"/>
      <c r="AI885" s="83"/>
      <c r="AJ885" s="83"/>
      <c r="AK885" s="83"/>
      <c r="AL885" s="83"/>
      <c r="AM885" s="83"/>
    </row>
    <row r="886" ht="13.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3"/>
      <c r="O886" s="83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  <c r="AB886" s="83"/>
      <c r="AC886" s="83"/>
      <c r="AD886" s="83"/>
      <c r="AE886" s="83"/>
      <c r="AF886" s="83"/>
      <c r="AG886" s="83"/>
      <c r="AH886" s="83"/>
      <c r="AI886" s="83"/>
      <c r="AJ886" s="83"/>
      <c r="AK886" s="83"/>
      <c r="AL886" s="83"/>
      <c r="AM886" s="83"/>
    </row>
    <row r="887" ht="13.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3"/>
      <c r="O887" s="83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  <c r="AB887" s="83"/>
      <c r="AC887" s="83"/>
      <c r="AD887" s="83"/>
      <c r="AE887" s="83"/>
      <c r="AF887" s="83"/>
      <c r="AG887" s="83"/>
      <c r="AH887" s="83"/>
      <c r="AI887" s="83"/>
      <c r="AJ887" s="83"/>
      <c r="AK887" s="83"/>
      <c r="AL887" s="83"/>
      <c r="AM887" s="83"/>
    </row>
    <row r="888" ht="13.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3"/>
      <c r="O888" s="83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  <c r="AB888" s="83"/>
      <c r="AC888" s="83"/>
      <c r="AD888" s="83"/>
      <c r="AE888" s="83"/>
      <c r="AF888" s="83"/>
      <c r="AG888" s="83"/>
      <c r="AH888" s="83"/>
      <c r="AI888" s="83"/>
      <c r="AJ888" s="83"/>
      <c r="AK888" s="83"/>
      <c r="AL888" s="83"/>
      <c r="AM888" s="83"/>
    </row>
    <row r="889" ht="13.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3"/>
      <c r="O889" s="83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  <c r="AB889" s="83"/>
      <c r="AC889" s="83"/>
      <c r="AD889" s="83"/>
      <c r="AE889" s="83"/>
      <c r="AF889" s="83"/>
      <c r="AG889" s="83"/>
      <c r="AH889" s="83"/>
      <c r="AI889" s="83"/>
      <c r="AJ889" s="83"/>
      <c r="AK889" s="83"/>
      <c r="AL889" s="83"/>
      <c r="AM889" s="83"/>
    </row>
    <row r="890" ht="13.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3"/>
      <c r="O890" s="83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  <c r="AB890" s="83"/>
      <c r="AC890" s="83"/>
      <c r="AD890" s="83"/>
      <c r="AE890" s="83"/>
      <c r="AF890" s="83"/>
      <c r="AG890" s="83"/>
      <c r="AH890" s="83"/>
      <c r="AI890" s="83"/>
      <c r="AJ890" s="83"/>
      <c r="AK890" s="83"/>
      <c r="AL890" s="83"/>
      <c r="AM890" s="83"/>
    </row>
    <row r="891" ht="13.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3"/>
      <c r="O891" s="83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  <c r="AB891" s="83"/>
      <c r="AC891" s="83"/>
      <c r="AD891" s="83"/>
      <c r="AE891" s="83"/>
      <c r="AF891" s="83"/>
      <c r="AG891" s="83"/>
      <c r="AH891" s="83"/>
      <c r="AI891" s="83"/>
      <c r="AJ891" s="83"/>
      <c r="AK891" s="83"/>
      <c r="AL891" s="83"/>
      <c r="AM891" s="83"/>
    </row>
    <row r="892" ht="13.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3"/>
      <c r="O892" s="83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  <c r="AB892" s="83"/>
      <c r="AC892" s="83"/>
      <c r="AD892" s="83"/>
      <c r="AE892" s="83"/>
      <c r="AF892" s="83"/>
      <c r="AG892" s="83"/>
      <c r="AH892" s="83"/>
      <c r="AI892" s="83"/>
      <c r="AJ892" s="83"/>
      <c r="AK892" s="83"/>
      <c r="AL892" s="83"/>
      <c r="AM892" s="83"/>
    </row>
    <row r="893" ht="13.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3"/>
      <c r="O893" s="83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  <c r="AB893" s="83"/>
      <c r="AC893" s="83"/>
      <c r="AD893" s="83"/>
      <c r="AE893" s="83"/>
      <c r="AF893" s="83"/>
      <c r="AG893" s="83"/>
      <c r="AH893" s="83"/>
      <c r="AI893" s="83"/>
      <c r="AJ893" s="83"/>
      <c r="AK893" s="83"/>
      <c r="AL893" s="83"/>
      <c r="AM893" s="83"/>
    </row>
    <row r="894" ht="13.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3"/>
      <c r="O894" s="83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  <c r="AB894" s="83"/>
      <c r="AC894" s="83"/>
      <c r="AD894" s="83"/>
      <c r="AE894" s="83"/>
      <c r="AF894" s="83"/>
      <c r="AG894" s="83"/>
      <c r="AH894" s="83"/>
      <c r="AI894" s="83"/>
      <c r="AJ894" s="83"/>
      <c r="AK894" s="83"/>
      <c r="AL894" s="83"/>
      <c r="AM894" s="83"/>
    </row>
    <row r="895" ht="13.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3"/>
      <c r="O895" s="83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  <c r="AB895" s="83"/>
      <c r="AC895" s="83"/>
      <c r="AD895" s="83"/>
      <c r="AE895" s="83"/>
      <c r="AF895" s="83"/>
      <c r="AG895" s="83"/>
      <c r="AH895" s="83"/>
      <c r="AI895" s="83"/>
      <c r="AJ895" s="83"/>
      <c r="AK895" s="83"/>
      <c r="AL895" s="83"/>
      <c r="AM895" s="83"/>
    </row>
    <row r="896" ht="13.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3"/>
      <c r="O896" s="83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  <c r="AB896" s="83"/>
      <c r="AC896" s="83"/>
      <c r="AD896" s="83"/>
      <c r="AE896" s="83"/>
      <c r="AF896" s="83"/>
      <c r="AG896" s="83"/>
      <c r="AH896" s="83"/>
      <c r="AI896" s="83"/>
      <c r="AJ896" s="83"/>
      <c r="AK896" s="83"/>
      <c r="AL896" s="83"/>
      <c r="AM896" s="83"/>
    </row>
    <row r="897" ht="13.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3"/>
      <c r="O897" s="83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  <c r="AB897" s="83"/>
      <c r="AC897" s="83"/>
      <c r="AD897" s="83"/>
      <c r="AE897" s="83"/>
      <c r="AF897" s="83"/>
      <c r="AG897" s="83"/>
      <c r="AH897" s="83"/>
      <c r="AI897" s="83"/>
      <c r="AJ897" s="83"/>
      <c r="AK897" s="83"/>
      <c r="AL897" s="83"/>
      <c r="AM897" s="83"/>
    </row>
    <row r="898" ht="13.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3"/>
      <c r="O898" s="83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  <c r="AB898" s="83"/>
      <c r="AC898" s="83"/>
      <c r="AD898" s="83"/>
      <c r="AE898" s="83"/>
      <c r="AF898" s="83"/>
      <c r="AG898" s="83"/>
      <c r="AH898" s="83"/>
      <c r="AI898" s="83"/>
      <c r="AJ898" s="83"/>
      <c r="AK898" s="83"/>
      <c r="AL898" s="83"/>
      <c r="AM898" s="83"/>
    </row>
    <row r="899" ht="13.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3"/>
      <c r="O899" s="83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  <c r="AB899" s="83"/>
      <c r="AC899" s="83"/>
      <c r="AD899" s="83"/>
      <c r="AE899" s="83"/>
      <c r="AF899" s="83"/>
      <c r="AG899" s="83"/>
      <c r="AH899" s="83"/>
      <c r="AI899" s="83"/>
      <c r="AJ899" s="83"/>
      <c r="AK899" s="83"/>
      <c r="AL899" s="83"/>
      <c r="AM899" s="83"/>
    </row>
    <row r="900" ht="13.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3"/>
      <c r="O900" s="83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  <c r="AB900" s="83"/>
      <c r="AC900" s="83"/>
      <c r="AD900" s="83"/>
      <c r="AE900" s="83"/>
      <c r="AF900" s="83"/>
      <c r="AG900" s="83"/>
      <c r="AH900" s="83"/>
      <c r="AI900" s="83"/>
      <c r="AJ900" s="83"/>
      <c r="AK900" s="83"/>
      <c r="AL900" s="83"/>
      <c r="AM900" s="83"/>
    </row>
    <row r="901" ht="13.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3"/>
      <c r="O901" s="83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  <c r="AB901" s="83"/>
      <c r="AC901" s="83"/>
      <c r="AD901" s="83"/>
      <c r="AE901" s="83"/>
      <c r="AF901" s="83"/>
      <c r="AG901" s="83"/>
      <c r="AH901" s="83"/>
      <c r="AI901" s="83"/>
      <c r="AJ901" s="83"/>
      <c r="AK901" s="83"/>
      <c r="AL901" s="83"/>
      <c r="AM901" s="83"/>
    </row>
    <row r="902" ht="13.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3"/>
      <c r="O902" s="83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  <c r="AB902" s="83"/>
      <c r="AC902" s="83"/>
      <c r="AD902" s="83"/>
      <c r="AE902" s="83"/>
      <c r="AF902" s="83"/>
      <c r="AG902" s="83"/>
      <c r="AH902" s="83"/>
      <c r="AI902" s="83"/>
      <c r="AJ902" s="83"/>
      <c r="AK902" s="83"/>
      <c r="AL902" s="83"/>
      <c r="AM902" s="83"/>
    </row>
    <row r="903" ht="13.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3"/>
      <c r="O903" s="83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  <c r="AB903" s="83"/>
      <c r="AC903" s="83"/>
      <c r="AD903" s="83"/>
      <c r="AE903" s="83"/>
      <c r="AF903" s="83"/>
      <c r="AG903" s="83"/>
      <c r="AH903" s="83"/>
      <c r="AI903" s="83"/>
      <c r="AJ903" s="83"/>
      <c r="AK903" s="83"/>
      <c r="AL903" s="83"/>
      <c r="AM903" s="83"/>
    </row>
    <row r="904" ht="13.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3"/>
      <c r="O904" s="83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  <c r="AB904" s="83"/>
      <c r="AC904" s="83"/>
      <c r="AD904" s="83"/>
      <c r="AE904" s="83"/>
      <c r="AF904" s="83"/>
      <c r="AG904" s="83"/>
      <c r="AH904" s="83"/>
      <c r="AI904" s="83"/>
      <c r="AJ904" s="83"/>
      <c r="AK904" s="83"/>
      <c r="AL904" s="83"/>
      <c r="AM904" s="83"/>
    </row>
    <row r="905" ht="13.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3"/>
      <c r="O905" s="83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  <c r="AB905" s="83"/>
      <c r="AC905" s="83"/>
      <c r="AD905" s="83"/>
      <c r="AE905" s="83"/>
      <c r="AF905" s="83"/>
      <c r="AG905" s="83"/>
      <c r="AH905" s="83"/>
      <c r="AI905" s="83"/>
      <c r="AJ905" s="83"/>
      <c r="AK905" s="83"/>
      <c r="AL905" s="83"/>
      <c r="AM905" s="83"/>
    </row>
    <row r="906" ht="13.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3"/>
      <c r="O906" s="83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  <c r="AB906" s="83"/>
      <c r="AC906" s="83"/>
      <c r="AD906" s="83"/>
      <c r="AE906" s="83"/>
      <c r="AF906" s="83"/>
      <c r="AG906" s="83"/>
      <c r="AH906" s="83"/>
      <c r="AI906" s="83"/>
      <c r="AJ906" s="83"/>
      <c r="AK906" s="83"/>
      <c r="AL906" s="83"/>
      <c r="AM906" s="83"/>
    </row>
    <row r="907" ht="13.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3"/>
      <c r="O907" s="83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  <c r="AB907" s="83"/>
      <c r="AC907" s="83"/>
      <c r="AD907" s="83"/>
      <c r="AE907" s="83"/>
      <c r="AF907" s="83"/>
      <c r="AG907" s="83"/>
      <c r="AH907" s="83"/>
      <c r="AI907" s="83"/>
      <c r="AJ907" s="83"/>
      <c r="AK907" s="83"/>
      <c r="AL907" s="83"/>
      <c r="AM907" s="83"/>
    </row>
    <row r="908" ht="13.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3"/>
      <c r="O908" s="83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  <c r="AB908" s="83"/>
      <c r="AC908" s="83"/>
      <c r="AD908" s="83"/>
      <c r="AE908" s="83"/>
      <c r="AF908" s="83"/>
      <c r="AG908" s="83"/>
      <c r="AH908" s="83"/>
      <c r="AI908" s="83"/>
      <c r="AJ908" s="83"/>
      <c r="AK908" s="83"/>
      <c r="AL908" s="83"/>
      <c r="AM908" s="83"/>
    </row>
    <row r="909" ht="13.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3"/>
      <c r="O909" s="83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  <c r="AB909" s="83"/>
      <c r="AC909" s="83"/>
      <c r="AD909" s="83"/>
      <c r="AE909" s="83"/>
      <c r="AF909" s="83"/>
      <c r="AG909" s="83"/>
      <c r="AH909" s="83"/>
      <c r="AI909" s="83"/>
      <c r="AJ909" s="83"/>
      <c r="AK909" s="83"/>
      <c r="AL909" s="83"/>
      <c r="AM909" s="83"/>
    </row>
    <row r="910" ht="13.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3"/>
      <c r="O910" s="83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  <c r="AB910" s="83"/>
      <c r="AC910" s="83"/>
      <c r="AD910" s="83"/>
      <c r="AE910" s="83"/>
      <c r="AF910" s="83"/>
      <c r="AG910" s="83"/>
      <c r="AH910" s="83"/>
      <c r="AI910" s="83"/>
      <c r="AJ910" s="83"/>
      <c r="AK910" s="83"/>
      <c r="AL910" s="83"/>
      <c r="AM910" s="83"/>
    </row>
    <row r="911" ht="13.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3"/>
      <c r="O911" s="83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  <c r="AB911" s="83"/>
      <c r="AC911" s="83"/>
      <c r="AD911" s="83"/>
      <c r="AE911" s="83"/>
      <c r="AF911" s="83"/>
      <c r="AG911" s="83"/>
      <c r="AH911" s="83"/>
      <c r="AI911" s="83"/>
      <c r="AJ911" s="83"/>
      <c r="AK911" s="83"/>
      <c r="AL911" s="83"/>
      <c r="AM911" s="83"/>
    </row>
    <row r="912" ht="13.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3"/>
      <c r="O912" s="83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  <c r="AB912" s="83"/>
      <c r="AC912" s="83"/>
      <c r="AD912" s="83"/>
      <c r="AE912" s="83"/>
      <c r="AF912" s="83"/>
      <c r="AG912" s="83"/>
      <c r="AH912" s="83"/>
      <c r="AI912" s="83"/>
      <c r="AJ912" s="83"/>
      <c r="AK912" s="83"/>
      <c r="AL912" s="83"/>
      <c r="AM912" s="83"/>
    </row>
    <row r="913" ht="13.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3"/>
      <c r="O913" s="83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  <c r="AB913" s="83"/>
      <c r="AC913" s="83"/>
      <c r="AD913" s="83"/>
      <c r="AE913" s="83"/>
      <c r="AF913" s="83"/>
      <c r="AG913" s="83"/>
      <c r="AH913" s="83"/>
      <c r="AI913" s="83"/>
      <c r="AJ913" s="83"/>
      <c r="AK913" s="83"/>
      <c r="AL913" s="83"/>
      <c r="AM913" s="83"/>
    </row>
    <row r="914" ht="13.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3"/>
      <c r="O914" s="83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  <c r="AB914" s="83"/>
      <c r="AC914" s="83"/>
      <c r="AD914" s="83"/>
      <c r="AE914" s="83"/>
      <c r="AF914" s="83"/>
      <c r="AG914" s="83"/>
      <c r="AH914" s="83"/>
      <c r="AI914" s="83"/>
      <c r="AJ914" s="83"/>
      <c r="AK914" s="83"/>
      <c r="AL914" s="83"/>
      <c r="AM914" s="83"/>
    </row>
    <row r="915" ht="13.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3"/>
      <c r="O915" s="83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  <c r="AB915" s="83"/>
      <c r="AC915" s="83"/>
      <c r="AD915" s="83"/>
      <c r="AE915" s="83"/>
      <c r="AF915" s="83"/>
      <c r="AG915" s="83"/>
      <c r="AH915" s="83"/>
      <c r="AI915" s="83"/>
      <c r="AJ915" s="83"/>
      <c r="AK915" s="83"/>
      <c r="AL915" s="83"/>
      <c r="AM915" s="83"/>
    </row>
    <row r="916" ht="13.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3"/>
      <c r="O916" s="83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  <c r="AB916" s="83"/>
      <c r="AC916" s="83"/>
      <c r="AD916" s="83"/>
      <c r="AE916" s="83"/>
      <c r="AF916" s="83"/>
      <c r="AG916" s="83"/>
      <c r="AH916" s="83"/>
      <c r="AI916" s="83"/>
      <c r="AJ916" s="83"/>
      <c r="AK916" s="83"/>
      <c r="AL916" s="83"/>
      <c r="AM916" s="83"/>
    </row>
    <row r="917" ht="13.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3"/>
      <c r="O917" s="83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  <c r="AB917" s="83"/>
      <c r="AC917" s="83"/>
      <c r="AD917" s="83"/>
      <c r="AE917" s="83"/>
      <c r="AF917" s="83"/>
      <c r="AG917" s="83"/>
      <c r="AH917" s="83"/>
      <c r="AI917" s="83"/>
      <c r="AJ917" s="83"/>
      <c r="AK917" s="83"/>
      <c r="AL917" s="83"/>
      <c r="AM917" s="83"/>
    </row>
    <row r="918" ht="13.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3"/>
      <c r="O918" s="83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  <c r="AB918" s="83"/>
      <c r="AC918" s="83"/>
      <c r="AD918" s="83"/>
      <c r="AE918" s="83"/>
      <c r="AF918" s="83"/>
      <c r="AG918" s="83"/>
      <c r="AH918" s="83"/>
      <c r="AI918" s="83"/>
      <c r="AJ918" s="83"/>
      <c r="AK918" s="83"/>
      <c r="AL918" s="83"/>
      <c r="AM918" s="83"/>
    </row>
    <row r="919" ht="13.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3"/>
      <c r="O919" s="83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  <c r="AB919" s="83"/>
      <c r="AC919" s="83"/>
      <c r="AD919" s="83"/>
      <c r="AE919" s="83"/>
      <c r="AF919" s="83"/>
      <c r="AG919" s="83"/>
      <c r="AH919" s="83"/>
      <c r="AI919" s="83"/>
      <c r="AJ919" s="83"/>
      <c r="AK919" s="83"/>
      <c r="AL919" s="83"/>
      <c r="AM919" s="83"/>
    </row>
    <row r="920" ht="13.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3"/>
      <c r="O920" s="83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  <c r="AB920" s="83"/>
      <c r="AC920" s="83"/>
      <c r="AD920" s="83"/>
      <c r="AE920" s="83"/>
      <c r="AF920" s="83"/>
      <c r="AG920" s="83"/>
      <c r="AH920" s="83"/>
      <c r="AI920" s="83"/>
      <c r="AJ920" s="83"/>
      <c r="AK920" s="83"/>
      <c r="AL920" s="83"/>
      <c r="AM920" s="83"/>
    </row>
    <row r="921" ht="13.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3"/>
      <c r="O921" s="83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  <c r="AB921" s="83"/>
      <c r="AC921" s="83"/>
      <c r="AD921" s="83"/>
      <c r="AE921" s="83"/>
      <c r="AF921" s="83"/>
      <c r="AG921" s="83"/>
      <c r="AH921" s="83"/>
      <c r="AI921" s="83"/>
      <c r="AJ921" s="83"/>
      <c r="AK921" s="83"/>
      <c r="AL921" s="83"/>
      <c r="AM921" s="83"/>
    </row>
    <row r="922" ht="13.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3"/>
      <c r="O922" s="83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  <c r="AB922" s="83"/>
      <c r="AC922" s="83"/>
      <c r="AD922" s="83"/>
      <c r="AE922" s="83"/>
      <c r="AF922" s="83"/>
      <c r="AG922" s="83"/>
      <c r="AH922" s="83"/>
      <c r="AI922" s="83"/>
      <c r="AJ922" s="83"/>
      <c r="AK922" s="83"/>
      <c r="AL922" s="83"/>
      <c r="AM922" s="83"/>
    </row>
    <row r="923" ht="13.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3"/>
      <c r="O923" s="83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  <c r="AB923" s="83"/>
      <c r="AC923" s="83"/>
      <c r="AD923" s="83"/>
      <c r="AE923" s="83"/>
      <c r="AF923" s="83"/>
      <c r="AG923" s="83"/>
      <c r="AH923" s="83"/>
      <c r="AI923" s="83"/>
      <c r="AJ923" s="83"/>
      <c r="AK923" s="83"/>
      <c r="AL923" s="83"/>
      <c r="AM923" s="83"/>
    </row>
    <row r="924" ht="13.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3"/>
      <c r="O924" s="83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  <c r="AB924" s="83"/>
      <c r="AC924" s="83"/>
      <c r="AD924" s="83"/>
      <c r="AE924" s="83"/>
      <c r="AF924" s="83"/>
      <c r="AG924" s="83"/>
      <c r="AH924" s="83"/>
      <c r="AI924" s="83"/>
      <c r="AJ924" s="83"/>
      <c r="AK924" s="83"/>
      <c r="AL924" s="83"/>
      <c r="AM924" s="83"/>
    </row>
    <row r="925" ht="13.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3"/>
      <c r="O925" s="83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  <c r="AB925" s="83"/>
      <c r="AC925" s="83"/>
      <c r="AD925" s="83"/>
      <c r="AE925" s="83"/>
      <c r="AF925" s="83"/>
      <c r="AG925" s="83"/>
      <c r="AH925" s="83"/>
      <c r="AI925" s="83"/>
      <c r="AJ925" s="83"/>
      <c r="AK925" s="83"/>
      <c r="AL925" s="83"/>
      <c r="AM925" s="83"/>
    </row>
    <row r="926" ht="13.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3"/>
      <c r="O926" s="83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  <c r="AB926" s="83"/>
      <c r="AC926" s="83"/>
      <c r="AD926" s="83"/>
      <c r="AE926" s="83"/>
      <c r="AF926" s="83"/>
      <c r="AG926" s="83"/>
      <c r="AH926" s="83"/>
      <c r="AI926" s="83"/>
      <c r="AJ926" s="83"/>
      <c r="AK926" s="83"/>
      <c r="AL926" s="83"/>
      <c r="AM926" s="83"/>
    </row>
    <row r="927" ht="13.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3"/>
      <c r="O927" s="83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  <c r="AB927" s="83"/>
      <c r="AC927" s="83"/>
      <c r="AD927" s="83"/>
      <c r="AE927" s="83"/>
      <c r="AF927" s="83"/>
      <c r="AG927" s="83"/>
      <c r="AH927" s="83"/>
      <c r="AI927" s="83"/>
      <c r="AJ927" s="83"/>
      <c r="AK927" s="83"/>
      <c r="AL927" s="83"/>
      <c r="AM927" s="83"/>
    </row>
    <row r="928" ht="13.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3"/>
      <c r="O928" s="83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  <c r="AB928" s="83"/>
      <c r="AC928" s="83"/>
      <c r="AD928" s="83"/>
      <c r="AE928" s="83"/>
      <c r="AF928" s="83"/>
      <c r="AG928" s="83"/>
      <c r="AH928" s="83"/>
      <c r="AI928" s="83"/>
      <c r="AJ928" s="83"/>
      <c r="AK928" s="83"/>
      <c r="AL928" s="83"/>
      <c r="AM928" s="83"/>
    </row>
    <row r="929" ht="13.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3"/>
      <c r="O929" s="83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  <c r="AB929" s="83"/>
      <c r="AC929" s="83"/>
      <c r="AD929" s="83"/>
      <c r="AE929" s="83"/>
      <c r="AF929" s="83"/>
      <c r="AG929" s="83"/>
      <c r="AH929" s="83"/>
      <c r="AI929" s="83"/>
      <c r="AJ929" s="83"/>
      <c r="AK929" s="83"/>
      <c r="AL929" s="83"/>
      <c r="AM929" s="83"/>
    </row>
    <row r="930" ht="13.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3"/>
      <c r="O930" s="83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  <c r="AB930" s="83"/>
      <c r="AC930" s="83"/>
      <c r="AD930" s="83"/>
      <c r="AE930" s="83"/>
      <c r="AF930" s="83"/>
      <c r="AG930" s="83"/>
      <c r="AH930" s="83"/>
      <c r="AI930" s="83"/>
      <c r="AJ930" s="83"/>
      <c r="AK930" s="83"/>
      <c r="AL930" s="83"/>
      <c r="AM930" s="83"/>
    </row>
    <row r="931" ht="13.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3"/>
      <c r="O931" s="83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  <c r="AB931" s="83"/>
      <c r="AC931" s="83"/>
      <c r="AD931" s="83"/>
      <c r="AE931" s="83"/>
      <c r="AF931" s="83"/>
      <c r="AG931" s="83"/>
      <c r="AH931" s="83"/>
      <c r="AI931" s="83"/>
      <c r="AJ931" s="83"/>
      <c r="AK931" s="83"/>
      <c r="AL931" s="83"/>
      <c r="AM931" s="83"/>
    </row>
    <row r="932" ht="13.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3"/>
      <c r="O932" s="83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  <c r="AB932" s="83"/>
      <c r="AC932" s="83"/>
      <c r="AD932" s="83"/>
      <c r="AE932" s="83"/>
      <c r="AF932" s="83"/>
      <c r="AG932" s="83"/>
      <c r="AH932" s="83"/>
      <c r="AI932" s="83"/>
      <c r="AJ932" s="83"/>
      <c r="AK932" s="83"/>
      <c r="AL932" s="83"/>
      <c r="AM932" s="83"/>
    </row>
    <row r="933" ht="13.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3"/>
      <c r="O933" s="83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  <c r="AB933" s="83"/>
      <c r="AC933" s="83"/>
      <c r="AD933" s="83"/>
      <c r="AE933" s="83"/>
      <c r="AF933" s="83"/>
      <c r="AG933" s="83"/>
      <c r="AH933" s="83"/>
      <c r="AI933" s="83"/>
      <c r="AJ933" s="83"/>
      <c r="AK933" s="83"/>
      <c r="AL933" s="83"/>
      <c r="AM933" s="83"/>
    </row>
    <row r="934" ht="13.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3"/>
      <c r="O934" s="83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  <c r="AB934" s="83"/>
      <c r="AC934" s="83"/>
      <c r="AD934" s="83"/>
      <c r="AE934" s="83"/>
      <c r="AF934" s="83"/>
      <c r="AG934" s="83"/>
      <c r="AH934" s="83"/>
      <c r="AI934" s="83"/>
      <c r="AJ934" s="83"/>
      <c r="AK934" s="83"/>
      <c r="AL934" s="83"/>
      <c r="AM934" s="83"/>
    </row>
    <row r="935" ht="13.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3"/>
      <c r="O935" s="83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  <c r="AB935" s="83"/>
      <c r="AC935" s="83"/>
      <c r="AD935" s="83"/>
      <c r="AE935" s="83"/>
      <c r="AF935" s="83"/>
      <c r="AG935" s="83"/>
      <c r="AH935" s="83"/>
      <c r="AI935" s="83"/>
      <c r="AJ935" s="83"/>
      <c r="AK935" s="83"/>
      <c r="AL935" s="83"/>
      <c r="AM935" s="83"/>
    </row>
    <row r="936" ht="13.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3"/>
      <c r="O936" s="83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  <c r="AB936" s="83"/>
      <c r="AC936" s="83"/>
      <c r="AD936" s="83"/>
      <c r="AE936" s="83"/>
      <c r="AF936" s="83"/>
      <c r="AG936" s="83"/>
      <c r="AH936" s="83"/>
      <c r="AI936" s="83"/>
      <c r="AJ936" s="83"/>
      <c r="AK936" s="83"/>
      <c r="AL936" s="83"/>
      <c r="AM936" s="83"/>
    </row>
    <row r="937" ht="13.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3"/>
      <c r="O937" s="83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  <c r="AB937" s="83"/>
      <c r="AC937" s="83"/>
      <c r="AD937" s="83"/>
      <c r="AE937" s="83"/>
      <c r="AF937" s="83"/>
      <c r="AG937" s="83"/>
      <c r="AH937" s="83"/>
      <c r="AI937" s="83"/>
      <c r="AJ937" s="83"/>
      <c r="AK937" s="83"/>
      <c r="AL937" s="83"/>
      <c r="AM937" s="83"/>
    </row>
    <row r="938" ht="13.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3"/>
      <c r="O938" s="83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  <c r="AB938" s="83"/>
      <c r="AC938" s="83"/>
      <c r="AD938" s="83"/>
      <c r="AE938" s="83"/>
      <c r="AF938" s="83"/>
      <c r="AG938" s="83"/>
      <c r="AH938" s="83"/>
      <c r="AI938" s="83"/>
      <c r="AJ938" s="83"/>
      <c r="AK938" s="83"/>
      <c r="AL938" s="83"/>
      <c r="AM938" s="83"/>
    </row>
    <row r="939" ht="13.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3"/>
      <c r="O939" s="83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  <c r="AB939" s="83"/>
      <c r="AC939" s="83"/>
      <c r="AD939" s="83"/>
      <c r="AE939" s="83"/>
      <c r="AF939" s="83"/>
      <c r="AG939" s="83"/>
      <c r="AH939" s="83"/>
      <c r="AI939" s="83"/>
      <c r="AJ939" s="83"/>
      <c r="AK939" s="83"/>
      <c r="AL939" s="83"/>
      <c r="AM939" s="83"/>
    </row>
    <row r="940" ht="13.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3"/>
      <c r="O940" s="83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  <c r="AB940" s="83"/>
      <c r="AC940" s="83"/>
      <c r="AD940" s="83"/>
      <c r="AE940" s="83"/>
      <c r="AF940" s="83"/>
      <c r="AG940" s="83"/>
      <c r="AH940" s="83"/>
      <c r="AI940" s="83"/>
      <c r="AJ940" s="83"/>
      <c r="AK940" s="83"/>
      <c r="AL940" s="83"/>
      <c r="AM940" s="83"/>
    </row>
    <row r="941" ht="13.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3"/>
      <c r="O941" s="83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  <c r="AB941" s="83"/>
      <c r="AC941" s="83"/>
      <c r="AD941" s="83"/>
      <c r="AE941" s="83"/>
      <c r="AF941" s="83"/>
      <c r="AG941" s="83"/>
      <c r="AH941" s="83"/>
      <c r="AI941" s="83"/>
      <c r="AJ941" s="83"/>
      <c r="AK941" s="83"/>
      <c r="AL941" s="83"/>
      <c r="AM941" s="83"/>
    </row>
    <row r="942" ht="13.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3"/>
      <c r="O942" s="83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  <c r="AB942" s="83"/>
      <c r="AC942" s="83"/>
      <c r="AD942" s="83"/>
      <c r="AE942" s="83"/>
      <c r="AF942" s="83"/>
      <c r="AG942" s="83"/>
      <c r="AH942" s="83"/>
      <c r="AI942" s="83"/>
      <c r="AJ942" s="83"/>
      <c r="AK942" s="83"/>
      <c r="AL942" s="83"/>
      <c r="AM942" s="83"/>
    </row>
    <row r="943" ht="13.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3"/>
      <c r="O943" s="83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  <c r="AB943" s="83"/>
      <c r="AC943" s="83"/>
      <c r="AD943" s="83"/>
      <c r="AE943" s="83"/>
      <c r="AF943" s="83"/>
      <c r="AG943" s="83"/>
      <c r="AH943" s="83"/>
      <c r="AI943" s="83"/>
      <c r="AJ943" s="83"/>
      <c r="AK943" s="83"/>
      <c r="AL943" s="83"/>
      <c r="AM943" s="83"/>
    </row>
    <row r="944" ht="13.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3"/>
      <c r="O944" s="83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  <c r="AB944" s="83"/>
      <c r="AC944" s="83"/>
      <c r="AD944" s="83"/>
      <c r="AE944" s="83"/>
      <c r="AF944" s="83"/>
      <c r="AG944" s="83"/>
      <c r="AH944" s="83"/>
      <c r="AI944" s="83"/>
      <c r="AJ944" s="83"/>
      <c r="AK944" s="83"/>
      <c r="AL944" s="83"/>
      <c r="AM944" s="83"/>
    </row>
    <row r="945" ht="13.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3"/>
      <c r="O945" s="83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  <c r="AB945" s="83"/>
      <c r="AC945" s="83"/>
      <c r="AD945" s="83"/>
      <c r="AE945" s="83"/>
      <c r="AF945" s="83"/>
      <c r="AG945" s="83"/>
      <c r="AH945" s="83"/>
      <c r="AI945" s="83"/>
      <c r="AJ945" s="83"/>
      <c r="AK945" s="83"/>
      <c r="AL945" s="83"/>
      <c r="AM945" s="83"/>
    </row>
    <row r="946" ht="13.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3"/>
      <c r="O946" s="83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  <c r="AB946" s="83"/>
      <c r="AC946" s="83"/>
      <c r="AD946" s="83"/>
      <c r="AE946" s="83"/>
      <c r="AF946" s="83"/>
      <c r="AG946" s="83"/>
      <c r="AH946" s="83"/>
      <c r="AI946" s="83"/>
      <c r="AJ946" s="83"/>
      <c r="AK946" s="83"/>
      <c r="AL946" s="83"/>
      <c r="AM946" s="83"/>
    </row>
    <row r="947" ht="13.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3"/>
      <c r="O947" s="83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  <c r="AB947" s="83"/>
      <c r="AC947" s="83"/>
      <c r="AD947" s="83"/>
      <c r="AE947" s="83"/>
      <c r="AF947" s="83"/>
      <c r="AG947" s="83"/>
      <c r="AH947" s="83"/>
      <c r="AI947" s="83"/>
      <c r="AJ947" s="83"/>
      <c r="AK947" s="83"/>
      <c r="AL947" s="83"/>
      <c r="AM947" s="83"/>
    </row>
    <row r="948" ht="13.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3"/>
      <c r="O948" s="83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  <c r="AB948" s="83"/>
      <c r="AC948" s="83"/>
      <c r="AD948" s="83"/>
      <c r="AE948" s="83"/>
      <c r="AF948" s="83"/>
      <c r="AG948" s="83"/>
      <c r="AH948" s="83"/>
      <c r="AI948" s="83"/>
      <c r="AJ948" s="83"/>
      <c r="AK948" s="83"/>
      <c r="AL948" s="83"/>
      <c r="AM948" s="83"/>
    </row>
    <row r="949" ht="13.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3"/>
      <c r="O949" s="83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  <c r="AB949" s="83"/>
      <c r="AC949" s="83"/>
      <c r="AD949" s="83"/>
      <c r="AE949" s="83"/>
      <c r="AF949" s="83"/>
      <c r="AG949" s="83"/>
      <c r="AH949" s="83"/>
      <c r="AI949" s="83"/>
      <c r="AJ949" s="83"/>
      <c r="AK949" s="83"/>
      <c r="AL949" s="83"/>
      <c r="AM949" s="83"/>
    </row>
    <row r="950" ht="13.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3"/>
      <c r="O950" s="83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  <c r="AB950" s="83"/>
      <c r="AC950" s="83"/>
      <c r="AD950" s="83"/>
      <c r="AE950" s="83"/>
      <c r="AF950" s="83"/>
      <c r="AG950" s="83"/>
      <c r="AH950" s="83"/>
      <c r="AI950" s="83"/>
      <c r="AJ950" s="83"/>
      <c r="AK950" s="83"/>
      <c r="AL950" s="83"/>
      <c r="AM950" s="83"/>
    </row>
    <row r="951" ht="13.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3"/>
      <c r="O951" s="83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  <c r="AB951" s="83"/>
      <c r="AC951" s="83"/>
      <c r="AD951" s="83"/>
      <c r="AE951" s="83"/>
      <c r="AF951" s="83"/>
      <c r="AG951" s="83"/>
      <c r="AH951" s="83"/>
      <c r="AI951" s="83"/>
      <c r="AJ951" s="83"/>
      <c r="AK951" s="83"/>
      <c r="AL951" s="83"/>
      <c r="AM951" s="83"/>
    </row>
    <row r="952" ht="13.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3"/>
      <c r="O952" s="83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  <c r="AB952" s="83"/>
      <c r="AC952" s="83"/>
      <c r="AD952" s="83"/>
      <c r="AE952" s="83"/>
      <c r="AF952" s="83"/>
      <c r="AG952" s="83"/>
      <c r="AH952" s="83"/>
      <c r="AI952" s="83"/>
      <c r="AJ952" s="83"/>
      <c r="AK952" s="83"/>
      <c r="AL952" s="83"/>
      <c r="AM952" s="83"/>
    </row>
    <row r="953" ht="13.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3"/>
      <c r="O953" s="83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  <c r="AB953" s="83"/>
      <c r="AC953" s="83"/>
      <c r="AD953" s="83"/>
      <c r="AE953" s="83"/>
      <c r="AF953" s="83"/>
      <c r="AG953" s="83"/>
      <c r="AH953" s="83"/>
      <c r="AI953" s="83"/>
      <c r="AJ953" s="83"/>
      <c r="AK953" s="83"/>
      <c r="AL953" s="83"/>
      <c r="AM953" s="83"/>
    </row>
    <row r="954" ht="13.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3"/>
      <c r="O954" s="83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  <c r="AB954" s="83"/>
      <c r="AC954" s="83"/>
      <c r="AD954" s="83"/>
      <c r="AE954" s="83"/>
      <c r="AF954" s="83"/>
      <c r="AG954" s="83"/>
      <c r="AH954" s="83"/>
      <c r="AI954" s="83"/>
      <c r="AJ954" s="83"/>
      <c r="AK954" s="83"/>
      <c r="AL954" s="83"/>
      <c r="AM954" s="83"/>
    </row>
    <row r="955" ht="13.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3"/>
      <c r="O955" s="83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  <c r="AB955" s="83"/>
      <c r="AC955" s="83"/>
      <c r="AD955" s="83"/>
      <c r="AE955" s="83"/>
      <c r="AF955" s="83"/>
      <c r="AG955" s="83"/>
      <c r="AH955" s="83"/>
      <c r="AI955" s="83"/>
      <c r="AJ955" s="83"/>
      <c r="AK955" s="83"/>
      <c r="AL955" s="83"/>
      <c r="AM955" s="83"/>
    </row>
    <row r="956" ht="13.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3"/>
      <c r="O956" s="83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  <c r="AB956" s="83"/>
      <c r="AC956" s="83"/>
      <c r="AD956" s="83"/>
      <c r="AE956" s="83"/>
      <c r="AF956" s="83"/>
      <c r="AG956" s="83"/>
      <c r="AH956" s="83"/>
      <c r="AI956" s="83"/>
      <c r="AJ956" s="83"/>
      <c r="AK956" s="83"/>
      <c r="AL956" s="83"/>
      <c r="AM956" s="83"/>
    </row>
    <row r="957" ht="13.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3"/>
      <c r="O957" s="83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  <c r="AB957" s="83"/>
      <c r="AC957" s="83"/>
      <c r="AD957" s="83"/>
      <c r="AE957" s="83"/>
      <c r="AF957" s="83"/>
      <c r="AG957" s="83"/>
      <c r="AH957" s="83"/>
      <c r="AI957" s="83"/>
      <c r="AJ957" s="83"/>
      <c r="AK957" s="83"/>
      <c r="AL957" s="83"/>
      <c r="AM957" s="83"/>
    </row>
    <row r="958" ht="13.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3"/>
      <c r="O958" s="83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  <c r="AB958" s="83"/>
      <c r="AC958" s="83"/>
      <c r="AD958" s="83"/>
      <c r="AE958" s="83"/>
      <c r="AF958" s="83"/>
      <c r="AG958" s="83"/>
      <c r="AH958" s="83"/>
      <c r="AI958" s="83"/>
      <c r="AJ958" s="83"/>
      <c r="AK958" s="83"/>
      <c r="AL958" s="83"/>
      <c r="AM958" s="83"/>
    </row>
    <row r="959" ht="13.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3"/>
      <c r="O959" s="83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  <c r="AB959" s="83"/>
      <c r="AC959" s="83"/>
      <c r="AD959" s="83"/>
      <c r="AE959" s="83"/>
      <c r="AF959" s="83"/>
      <c r="AG959" s="83"/>
      <c r="AH959" s="83"/>
      <c r="AI959" s="83"/>
      <c r="AJ959" s="83"/>
      <c r="AK959" s="83"/>
      <c r="AL959" s="83"/>
      <c r="AM959" s="83"/>
    </row>
    <row r="960" ht="13.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3"/>
      <c r="O960" s="83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  <c r="AB960" s="83"/>
      <c r="AC960" s="83"/>
      <c r="AD960" s="83"/>
      <c r="AE960" s="83"/>
      <c r="AF960" s="83"/>
      <c r="AG960" s="83"/>
      <c r="AH960" s="83"/>
      <c r="AI960" s="83"/>
      <c r="AJ960" s="83"/>
      <c r="AK960" s="83"/>
      <c r="AL960" s="83"/>
      <c r="AM960" s="83"/>
    </row>
    <row r="961" ht="13.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3"/>
      <c r="O961" s="83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  <c r="AB961" s="83"/>
      <c r="AC961" s="83"/>
      <c r="AD961" s="83"/>
      <c r="AE961" s="83"/>
      <c r="AF961" s="83"/>
      <c r="AG961" s="83"/>
      <c r="AH961" s="83"/>
      <c r="AI961" s="83"/>
      <c r="AJ961" s="83"/>
      <c r="AK961" s="83"/>
      <c r="AL961" s="83"/>
      <c r="AM961" s="83"/>
    </row>
    <row r="962" ht="13.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3"/>
      <c r="O962" s="83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  <c r="AB962" s="83"/>
      <c r="AC962" s="83"/>
      <c r="AD962" s="83"/>
      <c r="AE962" s="83"/>
      <c r="AF962" s="83"/>
      <c r="AG962" s="83"/>
      <c r="AH962" s="83"/>
      <c r="AI962" s="83"/>
      <c r="AJ962" s="83"/>
      <c r="AK962" s="83"/>
      <c r="AL962" s="83"/>
      <c r="AM962" s="83"/>
    </row>
    <row r="963" ht="13.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3"/>
      <c r="O963" s="83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  <c r="AB963" s="83"/>
      <c r="AC963" s="83"/>
      <c r="AD963" s="83"/>
      <c r="AE963" s="83"/>
      <c r="AF963" s="83"/>
      <c r="AG963" s="83"/>
      <c r="AH963" s="83"/>
      <c r="AI963" s="83"/>
      <c r="AJ963" s="83"/>
      <c r="AK963" s="83"/>
      <c r="AL963" s="83"/>
      <c r="AM963" s="83"/>
    </row>
    <row r="964" ht="13.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3"/>
      <c r="O964" s="83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  <c r="AB964" s="83"/>
      <c r="AC964" s="83"/>
      <c r="AD964" s="83"/>
      <c r="AE964" s="83"/>
      <c r="AF964" s="83"/>
      <c r="AG964" s="83"/>
      <c r="AH964" s="83"/>
      <c r="AI964" s="83"/>
      <c r="AJ964" s="83"/>
      <c r="AK964" s="83"/>
      <c r="AL964" s="83"/>
      <c r="AM964" s="83"/>
    </row>
    <row r="965" ht="13.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3"/>
      <c r="O965" s="83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  <c r="AB965" s="83"/>
      <c r="AC965" s="83"/>
      <c r="AD965" s="83"/>
      <c r="AE965" s="83"/>
      <c r="AF965" s="83"/>
      <c r="AG965" s="83"/>
      <c r="AH965" s="83"/>
      <c r="AI965" s="83"/>
      <c r="AJ965" s="83"/>
      <c r="AK965" s="83"/>
      <c r="AL965" s="83"/>
      <c r="AM965" s="83"/>
    </row>
    <row r="966" ht="13.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3"/>
      <c r="O966" s="83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  <c r="AB966" s="83"/>
      <c r="AC966" s="83"/>
      <c r="AD966" s="83"/>
      <c r="AE966" s="83"/>
      <c r="AF966" s="83"/>
      <c r="AG966" s="83"/>
      <c r="AH966" s="83"/>
      <c r="AI966" s="83"/>
      <c r="AJ966" s="83"/>
      <c r="AK966" s="83"/>
      <c r="AL966" s="83"/>
      <c r="AM966" s="83"/>
    </row>
    <row r="967" ht="13.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3"/>
      <c r="O967" s="83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  <c r="AB967" s="83"/>
      <c r="AC967" s="83"/>
      <c r="AD967" s="83"/>
      <c r="AE967" s="83"/>
      <c r="AF967" s="83"/>
      <c r="AG967" s="83"/>
      <c r="AH967" s="83"/>
      <c r="AI967" s="83"/>
      <c r="AJ967" s="83"/>
      <c r="AK967" s="83"/>
      <c r="AL967" s="83"/>
      <c r="AM967" s="83"/>
    </row>
    <row r="968" ht="13.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3"/>
      <c r="O968" s="83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  <c r="AB968" s="83"/>
      <c r="AC968" s="83"/>
      <c r="AD968" s="83"/>
      <c r="AE968" s="83"/>
      <c r="AF968" s="83"/>
      <c r="AG968" s="83"/>
      <c r="AH968" s="83"/>
      <c r="AI968" s="83"/>
      <c r="AJ968" s="83"/>
      <c r="AK968" s="83"/>
      <c r="AL968" s="83"/>
      <c r="AM968" s="83"/>
    </row>
    <row r="969" ht="13.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3"/>
      <c r="O969" s="83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  <c r="AB969" s="83"/>
      <c r="AC969" s="83"/>
      <c r="AD969" s="83"/>
      <c r="AE969" s="83"/>
      <c r="AF969" s="83"/>
      <c r="AG969" s="83"/>
      <c r="AH969" s="83"/>
      <c r="AI969" s="83"/>
      <c r="AJ969" s="83"/>
      <c r="AK969" s="83"/>
      <c r="AL969" s="83"/>
      <c r="AM969" s="83"/>
    </row>
    <row r="970" ht="13.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3"/>
      <c r="O970" s="83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  <c r="AB970" s="83"/>
      <c r="AC970" s="83"/>
      <c r="AD970" s="83"/>
      <c r="AE970" s="83"/>
      <c r="AF970" s="83"/>
      <c r="AG970" s="83"/>
      <c r="AH970" s="83"/>
      <c r="AI970" s="83"/>
      <c r="AJ970" s="83"/>
      <c r="AK970" s="83"/>
      <c r="AL970" s="83"/>
      <c r="AM970" s="83"/>
    </row>
    <row r="971" ht="13.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3"/>
      <c r="O971" s="83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  <c r="AB971" s="83"/>
      <c r="AC971" s="83"/>
      <c r="AD971" s="83"/>
      <c r="AE971" s="83"/>
      <c r="AF971" s="83"/>
      <c r="AG971" s="83"/>
      <c r="AH971" s="83"/>
      <c r="AI971" s="83"/>
      <c r="AJ971" s="83"/>
      <c r="AK971" s="83"/>
      <c r="AL971" s="83"/>
      <c r="AM971" s="83"/>
    </row>
    <row r="972" ht="13.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3"/>
      <c r="O972" s="83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  <c r="AB972" s="83"/>
      <c r="AC972" s="83"/>
      <c r="AD972" s="83"/>
      <c r="AE972" s="83"/>
      <c r="AF972" s="83"/>
      <c r="AG972" s="83"/>
      <c r="AH972" s="83"/>
      <c r="AI972" s="83"/>
      <c r="AJ972" s="83"/>
      <c r="AK972" s="83"/>
      <c r="AL972" s="83"/>
      <c r="AM972" s="83"/>
    </row>
    <row r="973" ht="13.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3"/>
      <c r="O973" s="83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  <c r="AB973" s="83"/>
      <c r="AC973" s="83"/>
      <c r="AD973" s="83"/>
      <c r="AE973" s="83"/>
      <c r="AF973" s="83"/>
      <c r="AG973" s="83"/>
      <c r="AH973" s="83"/>
      <c r="AI973" s="83"/>
      <c r="AJ973" s="83"/>
      <c r="AK973" s="83"/>
      <c r="AL973" s="83"/>
      <c r="AM973" s="83"/>
    </row>
    <row r="974" ht="13.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3"/>
      <c r="O974" s="83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  <c r="AB974" s="83"/>
      <c r="AC974" s="83"/>
      <c r="AD974" s="83"/>
      <c r="AE974" s="83"/>
      <c r="AF974" s="83"/>
      <c r="AG974" s="83"/>
      <c r="AH974" s="83"/>
      <c r="AI974" s="83"/>
      <c r="AJ974" s="83"/>
      <c r="AK974" s="83"/>
      <c r="AL974" s="83"/>
      <c r="AM974" s="83"/>
    </row>
    <row r="975" ht="13.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3"/>
      <c r="O975" s="83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  <c r="AB975" s="83"/>
      <c r="AC975" s="83"/>
      <c r="AD975" s="83"/>
      <c r="AE975" s="83"/>
      <c r="AF975" s="83"/>
      <c r="AG975" s="83"/>
      <c r="AH975" s="83"/>
      <c r="AI975" s="83"/>
      <c r="AJ975" s="83"/>
      <c r="AK975" s="83"/>
      <c r="AL975" s="83"/>
      <c r="AM975" s="83"/>
    </row>
    <row r="976" ht="13.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3"/>
      <c r="O976" s="83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  <c r="AB976" s="83"/>
      <c r="AC976" s="83"/>
      <c r="AD976" s="83"/>
      <c r="AE976" s="83"/>
      <c r="AF976" s="83"/>
      <c r="AG976" s="83"/>
      <c r="AH976" s="83"/>
      <c r="AI976" s="83"/>
      <c r="AJ976" s="83"/>
      <c r="AK976" s="83"/>
      <c r="AL976" s="83"/>
      <c r="AM976" s="83"/>
    </row>
    <row r="977" ht="13.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3"/>
      <c r="O977" s="83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  <c r="AB977" s="83"/>
      <c r="AC977" s="83"/>
      <c r="AD977" s="83"/>
      <c r="AE977" s="83"/>
      <c r="AF977" s="83"/>
      <c r="AG977" s="83"/>
      <c r="AH977" s="83"/>
      <c r="AI977" s="83"/>
      <c r="AJ977" s="83"/>
      <c r="AK977" s="83"/>
      <c r="AL977" s="83"/>
      <c r="AM977" s="83"/>
    </row>
    <row r="978" ht="13.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3"/>
      <c r="O978" s="83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  <c r="AB978" s="83"/>
      <c r="AC978" s="83"/>
      <c r="AD978" s="83"/>
      <c r="AE978" s="83"/>
      <c r="AF978" s="83"/>
      <c r="AG978" s="83"/>
      <c r="AH978" s="83"/>
      <c r="AI978" s="83"/>
      <c r="AJ978" s="83"/>
      <c r="AK978" s="83"/>
      <c r="AL978" s="83"/>
      <c r="AM978" s="83"/>
    </row>
    <row r="979" ht="13.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3"/>
      <c r="O979" s="83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  <c r="AB979" s="83"/>
      <c r="AC979" s="83"/>
      <c r="AD979" s="83"/>
      <c r="AE979" s="83"/>
      <c r="AF979" s="83"/>
      <c r="AG979" s="83"/>
      <c r="AH979" s="83"/>
      <c r="AI979" s="83"/>
      <c r="AJ979" s="83"/>
      <c r="AK979" s="83"/>
      <c r="AL979" s="83"/>
      <c r="AM979" s="83"/>
    </row>
    <row r="980" ht="13.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3"/>
      <c r="O980" s="83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  <c r="AB980" s="83"/>
      <c r="AC980" s="83"/>
      <c r="AD980" s="83"/>
      <c r="AE980" s="83"/>
      <c r="AF980" s="83"/>
      <c r="AG980" s="83"/>
      <c r="AH980" s="83"/>
      <c r="AI980" s="83"/>
      <c r="AJ980" s="83"/>
      <c r="AK980" s="83"/>
      <c r="AL980" s="83"/>
      <c r="AM980" s="83"/>
    </row>
    <row r="981" ht="13.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3"/>
      <c r="O981" s="83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  <c r="AB981" s="83"/>
      <c r="AC981" s="83"/>
      <c r="AD981" s="83"/>
      <c r="AE981" s="83"/>
      <c r="AF981" s="83"/>
      <c r="AG981" s="83"/>
      <c r="AH981" s="83"/>
      <c r="AI981" s="83"/>
      <c r="AJ981" s="83"/>
      <c r="AK981" s="83"/>
      <c r="AL981" s="83"/>
      <c r="AM981" s="83"/>
    </row>
    <row r="982" ht="13.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3"/>
      <c r="O982" s="83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  <c r="AB982" s="83"/>
      <c r="AC982" s="83"/>
      <c r="AD982" s="83"/>
      <c r="AE982" s="83"/>
      <c r="AF982" s="83"/>
      <c r="AG982" s="83"/>
      <c r="AH982" s="83"/>
      <c r="AI982" s="83"/>
      <c r="AJ982" s="83"/>
      <c r="AK982" s="83"/>
      <c r="AL982" s="83"/>
      <c r="AM982" s="83"/>
    </row>
    <row r="983" ht="13.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3"/>
      <c r="O983" s="83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  <c r="AB983" s="83"/>
      <c r="AC983" s="83"/>
      <c r="AD983" s="83"/>
      <c r="AE983" s="83"/>
      <c r="AF983" s="83"/>
      <c r="AG983" s="83"/>
      <c r="AH983" s="83"/>
      <c r="AI983" s="83"/>
      <c r="AJ983" s="83"/>
      <c r="AK983" s="83"/>
      <c r="AL983" s="83"/>
      <c r="AM983" s="83"/>
    </row>
    <row r="984" ht="13.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3"/>
      <c r="O984" s="83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  <c r="AB984" s="83"/>
      <c r="AC984" s="83"/>
      <c r="AD984" s="83"/>
      <c r="AE984" s="83"/>
      <c r="AF984" s="83"/>
      <c r="AG984" s="83"/>
      <c r="AH984" s="83"/>
      <c r="AI984" s="83"/>
      <c r="AJ984" s="83"/>
      <c r="AK984" s="83"/>
      <c r="AL984" s="83"/>
      <c r="AM984" s="83"/>
    </row>
    <row r="985" ht="13.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3"/>
      <c r="O985" s="83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  <c r="AB985" s="83"/>
      <c r="AC985" s="83"/>
      <c r="AD985" s="83"/>
      <c r="AE985" s="83"/>
      <c r="AF985" s="83"/>
      <c r="AG985" s="83"/>
      <c r="AH985" s="83"/>
      <c r="AI985" s="83"/>
      <c r="AJ985" s="83"/>
      <c r="AK985" s="83"/>
      <c r="AL985" s="83"/>
      <c r="AM985" s="83"/>
    </row>
    <row r="986" ht="13.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3"/>
      <c r="O986" s="83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  <c r="AB986" s="83"/>
      <c r="AC986" s="83"/>
      <c r="AD986" s="83"/>
      <c r="AE986" s="83"/>
      <c r="AF986" s="83"/>
      <c r="AG986" s="83"/>
      <c r="AH986" s="83"/>
      <c r="AI986" s="83"/>
      <c r="AJ986" s="83"/>
      <c r="AK986" s="83"/>
      <c r="AL986" s="83"/>
      <c r="AM986" s="83"/>
    </row>
    <row r="987" ht="13.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3"/>
      <c r="O987" s="83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  <c r="AB987" s="83"/>
      <c r="AC987" s="83"/>
      <c r="AD987" s="83"/>
      <c r="AE987" s="83"/>
      <c r="AF987" s="83"/>
      <c r="AG987" s="83"/>
      <c r="AH987" s="83"/>
      <c r="AI987" s="83"/>
      <c r="AJ987" s="83"/>
      <c r="AK987" s="83"/>
      <c r="AL987" s="83"/>
      <c r="AM987" s="83"/>
    </row>
    <row r="988" ht="13.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3"/>
      <c r="O988" s="83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  <c r="AB988" s="83"/>
      <c r="AC988" s="83"/>
      <c r="AD988" s="83"/>
      <c r="AE988" s="83"/>
      <c r="AF988" s="83"/>
      <c r="AG988" s="83"/>
      <c r="AH988" s="83"/>
      <c r="AI988" s="83"/>
      <c r="AJ988" s="83"/>
      <c r="AK988" s="83"/>
      <c r="AL988" s="83"/>
      <c r="AM988" s="83"/>
    </row>
    <row r="989" ht="13.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3"/>
      <c r="O989" s="83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  <c r="AB989" s="83"/>
      <c r="AC989" s="83"/>
      <c r="AD989" s="83"/>
      <c r="AE989" s="83"/>
      <c r="AF989" s="83"/>
      <c r="AG989" s="83"/>
      <c r="AH989" s="83"/>
      <c r="AI989" s="83"/>
      <c r="AJ989" s="83"/>
      <c r="AK989" s="83"/>
      <c r="AL989" s="83"/>
      <c r="AM989" s="83"/>
    </row>
    <row r="990" ht="13.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3"/>
      <c r="O990" s="83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  <c r="AB990" s="83"/>
      <c r="AC990" s="83"/>
      <c r="AD990" s="83"/>
      <c r="AE990" s="83"/>
      <c r="AF990" s="83"/>
      <c r="AG990" s="83"/>
      <c r="AH990" s="83"/>
      <c r="AI990" s="83"/>
      <c r="AJ990" s="83"/>
      <c r="AK990" s="83"/>
      <c r="AL990" s="83"/>
      <c r="AM990" s="83"/>
    </row>
    <row r="991" ht="13.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3"/>
      <c r="O991" s="83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  <c r="AB991" s="83"/>
      <c r="AC991" s="83"/>
      <c r="AD991" s="83"/>
      <c r="AE991" s="83"/>
      <c r="AF991" s="83"/>
      <c r="AG991" s="83"/>
      <c r="AH991" s="83"/>
      <c r="AI991" s="83"/>
      <c r="AJ991" s="83"/>
      <c r="AK991" s="83"/>
      <c r="AL991" s="83"/>
      <c r="AM991" s="83"/>
    </row>
    <row r="992" ht="13.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3"/>
      <c r="O992" s="83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  <c r="AB992" s="83"/>
      <c r="AC992" s="83"/>
      <c r="AD992" s="83"/>
      <c r="AE992" s="83"/>
      <c r="AF992" s="83"/>
      <c r="AG992" s="83"/>
      <c r="AH992" s="83"/>
      <c r="AI992" s="83"/>
      <c r="AJ992" s="83"/>
      <c r="AK992" s="83"/>
      <c r="AL992" s="83"/>
      <c r="AM992" s="83"/>
    </row>
    <row r="993" ht="13.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3"/>
      <c r="O993" s="83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  <c r="AB993" s="83"/>
      <c r="AC993" s="83"/>
      <c r="AD993" s="83"/>
      <c r="AE993" s="83"/>
      <c r="AF993" s="83"/>
      <c r="AG993" s="83"/>
      <c r="AH993" s="83"/>
      <c r="AI993" s="83"/>
      <c r="AJ993" s="83"/>
      <c r="AK993" s="83"/>
      <c r="AL993" s="83"/>
      <c r="AM993" s="83"/>
    </row>
    <row r="994" ht="13.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3"/>
      <c r="O994" s="83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  <c r="AB994" s="83"/>
      <c r="AC994" s="83"/>
      <c r="AD994" s="83"/>
      <c r="AE994" s="83"/>
      <c r="AF994" s="83"/>
      <c r="AG994" s="83"/>
      <c r="AH994" s="83"/>
      <c r="AI994" s="83"/>
      <c r="AJ994" s="83"/>
      <c r="AK994" s="83"/>
      <c r="AL994" s="83"/>
      <c r="AM994" s="83"/>
    </row>
    <row r="995" ht="13.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3"/>
      <c r="O995" s="83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  <c r="AB995" s="83"/>
      <c r="AC995" s="83"/>
      <c r="AD995" s="83"/>
      <c r="AE995" s="83"/>
      <c r="AF995" s="83"/>
      <c r="AG995" s="83"/>
      <c r="AH995" s="83"/>
      <c r="AI995" s="83"/>
      <c r="AJ995" s="83"/>
      <c r="AK995" s="83"/>
      <c r="AL995" s="83"/>
      <c r="AM995" s="83"/>
    </row>
    <row r="996" ht="13.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3"/>
      <c r="O996" s="83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  <c r="AB996" s="83"/>
      <c r="AC996" s="83"/>
      <c r="AD996" s="83"/>
      <c r="AE996" s="83"/>
      <c r="AF996" s="83"/>
      <c r="AG996" s="83"/>
      <c r="AH996" s="83"/>
      <c r="AI996" s="83"/>
      <c r="AJ996" s="83"/>
      <c r="AK996" s="83"/>
      <c r="AL996" s="83"/>
      <c r="AM996" s="83"/>
    </row>
    <row r="997" ht="13.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3"/>
      <c r="O997" s="83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  <c r="AB997" s="83"/>
      <c r="AC997" s="83"/>
      <c r="AD997" s="83"/>
      <c r="AE997" s="83"/>
      <c r="AF997" s="83"/>
      <c r="AG997" s="83"/>
      <c r="AH997" s="83"/>
      <c r="AI997" s="83"/>
      <c r="AJ997" s="83"/>
      <c r="AK997" s="83"/>
      <c r="AL997" s="83"/>
      <c r="AM997" s="83"/>
    </row>
    <row r="998" ht="13.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3"/>
      <c r="O998" s="83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  <c r="AB998" s="83"/>
      <c r="AC998" s="83"/>
      <c r="AD998" s="83"/>
      <c r="AE998" s="83"/>
      <c r="AF998" s="83"/>
      <c r="AG998" s="83"/>
      <c r="AH998" s="83"/>
      <c r="AI998" s="83"/>
      <c r="AJ998" s="83"/>
      <c r="AK998" s="83"/>
      <c r="AL998" s="83"/>
      <c r="AM998" s="83"/>
    </row>
    <row r="999" ht="13.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3"/>
      <c r="O999" s="83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  <c r="AB999" s="83"/>
      <c r="AC999" s="83"/>
      <c r="AD999" s="83"/>
      <c r="AE999" s="83"/>
      <c r="AF999" s="83"/>
      <c r="AG999" s="83"/>
      <c r="AH999" s="83"/>
      <c r="AI999" s="83"/>
      <c r="AJ999" s="83"/>
      <c r="AK999" s="83"/>
      <c r="AL999" s="83"/>
      <c r="AM999" s="83"/>
    </row>
    <row r="1000" ht="13.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3"/>
      <c r="O1000" s="83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  <c r="AB1000" s="83"/>
      <c r="AC1000" s="83"/>
      <c r="AD1000" s="83"/>
      <c r="AE1000" s="83"/>
      <c r="AF1000" s="83"/>
      <c r="AG1000" s="83"/>
      <c r="AH1000" s="83"/>
      <c r="AI1000" s="83"/>
      <c r="AJ1000" s="83"/>
      <c r="AK1000" s="83"/>
      <c r="AL1000" s="83"/>
      <c r="AM1000" s="83"/>
    </row>
  </sheetData>
  <mergeCells count="8">
    <mergeCell ref="H2:J2"/>
    <mergeCell ref="K2:M2"/>
    <mergeCell ref="N2:P2"/>
    <mergeCell ref="Q2:S2"/>
    <mergeCell ref="H16:J16"/>
    <mergeCell ref="K16:M16"/>
    <mergeCell ref="N16:P16"/>
    <mergeCell ref="Q16:S16"/>
  </mergeCells>
  <conditionalFormatting sqref="D4:D13">
    <cfRule type="containsText" dxfId="0" priority="1" operator="containsText" text="Approved">
      <formula>NOT(ISERROR(SEARCH(("Approved"),(D4))))</formula>
    </cfRule>
  </conditionalFormatting>
  <conditionalFormatting sqref="D4:D13">
    <cfRule type="containsText" dxfId="1" priority="2" operator="containsText" text="Needs Review">
      <formula>NOT(ISERROR(SEARCH(("Needs Review"),(D4))))</formula>
    </cfRule>
  </conditionalFormatting>
  <conditionalFormatting sqref="D4:D13">
    <cfRule type="containsText" dxfId="2" priority="3" operator="containsText" text="Not Started">
      <formula>NOT(ISERROR(SEARCH(("Not Started"),(D4))))</formula>
    </cfRule>
  </conditionalFormatting>
  <conditionalFormatting sqref="D4:D13">
    <cfRule type="containsText" dxfId="3" priority="4" operator="containsText" text="On Hold">
      <formula>NOT(ISERROR(SEARCH(("On Hold"),(D4))))</formula>
    </cfRule>
  </conditionalFormatting>
  <conditionalFormatting sqref="D4:D13">
    <cfRule type="containsText" dxfId="4" priority="5" operator="containsText" text="Overdue">
      <formula>NOT(ISERROR(SEARCH(("Overdue"),(D4))))</formula>
    </cfRule>
  </conditionalFormatting>
  <conditionalFormatting sqref="D4:D13">
    <cfRule type="containsText" dxfId="5" priority="6" operator="containsText" text="Complete">
      <formula>NOT(ISERROR(SEARCH(("Complete"),(D4))))</formula>
    </cfRule>
  </conditionalFormatting>
  <conditionalFormatting sqref="D4:D13">
    <cfRule type="containsText" dxfId="6" priority="7" operator="containsText" text="In Progress">
      <formula>NOT(ISERROR(SEARCH(("In Progress"),(D4))))</formula>
    </cfRule>
  </conditionalFormatting>
  <conditionalFormatting sqref="D5:D13">
    <cfRule type="cellIs" dxfId="7" priority="8" operator="equal">
      <formula>"No Iniciado"</formula>
    </cfRule>
  </conditionalFormatting>
  <conditionalFormatting sqref="D5:D13">
    <cfRule type="cellIs" dxfId="0" priority="9" operator="equal">
      <formula>"Aprobado"</formula>
    </cfRule>
  </conditionalFormatting>
  <conditionalFormatting sqref="D5:D13">
    <cfRule type="cellIs" dxfId="8" priority="10" operator="equal">
      <formula>"En Espera"</formula>
    </cfRule>
  </conditionalFormatting>
  <conditionalFormatting sqref="D5:D13">
    <cfRule type="cellIs" dxfId="9" priority="11" operator="equal">
      <formula>"Atrasado"</formula>
    </cfRule>
  </conditionalFormatting>
  <conditionalFormatting sqref="D5:D13">
    <cfRule type="cellIs" dxfId="10" priority="12" operator="equal">
      <formula>"Aprovado"</formula>
    </cfRule>
  </conditionalFormatting>
  <conditionalFormatting sqref="D5:D13">
    <cfRule type="cellIs" dxfId="1" priority="13" operator="equal">
      <formula>"Requiere Revisión"</formula>
    </cfRule>
  </conditionalFormatting>
  <conditionalFormatting sqref="D5:D13">
    <cfRule type="cellIs" dxfId="11" priority="14" operator="equal">
      <formula>"En Progreso"</formula>
    </cfRule>
  </conditionalFormatting>
  <conditionalFormatting sqref="D5:D13">
    <cfRule type="cellIs" dxfId="12" priority="15" operator="equal">
      <formula>"Completo"</formula>
    </cfRule>
  </conditionalFormatting>
  <conditionalFormatting sqref="D18:D27">
    <cfRule type="containsText" dxfId="0" priority="16" operator="containsText" text="Approved">
      <formula>NOT(ISERROR(SEARCH(("Approved"),(D18))))</formula>
    </cfRule>
  </conditionalFormatting>
  <conditionalFormatting sqref="D18:D27">
    <cfRule type="containsText" dxfId="1" priority="17" operator="containsText" text="Needs Review">
      <formula>NOT(ISERROR(SEARCH(("Needs Review"),(D18))))</formula>
    </cfRule>
  </conditionalFormatting>
  <conditionalFormatting sqref="D18:D27">
    <cfRule type="containsText" dxfId="2" priority="18" operator="containsText" text="Not Started">
      <formula>NOT(ISERROR(SEARCH(("Not Started"),(D18))))</formula>
    </cfRule>
  </conditionalFormatting>
  <conditionalFormatting sqref="D18:D27">
    <cfRule type="containsText" dxfId="3" priority="19" operator="containsText" text="On Hold">
      <formula>NOT(ISERROR(SEARCH(("On Hold"),(D18))))</formula>
    </cfRule>
  </conditionalFormatting>
  <conditionalFormatting sqref="D18:D27">
    <cfRule type="containsText" dxfId="4" priority="20" operator="containsText" text="Overdue">
      <formula>NOT(ISERROR(SEARCH(("Overdue"),(D18))))</formula>
    </cfRule>
  </conditionalFormatting>
  <conditionalFormatting sqref="D18:D27">
    <cfRule type="containsText" dxfId="5" priority="21" operator="containsText" text="Complete">
      <formula>NOT(ISERROR(SEARCH(("Complete"),(D18))))</formula>
    </cfRule>
  </conditionalFormatting>
  <conditionalFormatting sqref="D18:D27">
    <cfRule type="containsText" dxfId="6" priority="22" operator="containsText" text="In Progress">
      <formula>NOT(ISERROR(SEARCH(("In Progress"),(D18))))</formula>
    </cfRule>
  </conditionalFormatting>
  <conditionalFormatting sqref="D19:D27">
    <cfRule type="cellIs" dxfId="7" priority="23" operator="equal">
      <formula>"No Iniciado"</formula>
    </cfRule>
  </conditionalFormatting>
  <conditionalFormatting sqref="D19:D27">
    <cfRule type="cellIs" dxfId="0" priority="24" operator="equal">
      <formula>"Aprobado"</formula>
    </cfRule>
  </conditionalFormatting>
  <conditionalFormatting sqref="D19:D27">
    <cfRule type="cellIs" dxfId="8" priority="25" operator="equal">
      <formula>"En Espera"</formula>
    </cfRule>
  </conditionalFormatting>
  <conditionalFormatting sqref="D19:D27">
    <cfRule type="cellIs" dxfId="9" priority="26" operator="equal">
      <formula>"Atrasado"</formula>
    </cfRule>
  </conditionalFormatting>
  <conditionalFormatting sqref="D19:D27">
    <cfRule type="cellIs" dxfId="10" priority="27" operator="equal">
      <formula>"Aprovado"</formula>
    </cfRule>
  </conditionalFormatting>
  <conditionalFormatting sqref="D19:D27">
    <cfRule type="cellIs" dxfId="1" priority="28" operator="equal">
      <formula>"Requiere Revisión"</formula>
    </cfRule>
  </conditionalFormatting>
  <conditionalFormatting sqref="D19:D27">
    <cfRule type="cellIs" dxfId="11" priority="29" operator="equal">
      <formula>"En Progreso"</formula>
    </cfRule>
  </conditionalFormatting>
  <conditionalFormatting sqref="D19:D27">
    <cfRule type="cellIs" dxfId="12" priority="30" operator="equal">
      <formula>"Completo"</formula>
    </cfRule>
  </conditionalFormatting>
  <conditionalFormatting sqref="S5:S14 S19:S28">
    <cfRule type="cellIs" dxfId="13" priority="31" operator="lessThan">
      <formula>0</formula>
    </cfRule>
  </conditionalFormatting>
  <conditionalFormatting sqref="S5:S14 S19:S28">
    <cfRule type="cellIs" dxfId="14" priority="32" operator="greaterThan">
      <formula>0</formula>
    </cfRule>
  </conditionalFormatting>
  <conditionalFormatting sqref="S1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29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>
    <dataValidation type="list" allowBlank="1" showErrorMessage="1" sqref="D4:D13 D18:D27">
      <formula1>'listas desplegables'!$F$3:$F$11</formula1>
    </dataValidation>
  </dataValidations>
  <printOptions/>
  <pageMargins bottom="0.3" footer="0.0" header="0.0" left="0.3" right="0.3" top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FBFBF"/>
    <pageSetUpPr/>
  </sheetPr>
  <sheetViews>
    <sheetView showGridLines="0" workbookViewId="0"/>
  </sheetViews>
  <sheetFormatPr customHeight="1" defaultColWidth="11.22" defaultRowHeight="15.0"/>
  <cols>
    <col customWidth="1" min="1" max="1" width="3.33"/>
    <col customWidth="1" min="2" max="2" width="10.89"/>
    <col customWidth="1" min="3" max="3" width="3.33"/>
    <col customWidth="1" min="4" max="4" width="10.56"/>
    <col customWidth="1" min="5" max="5" width="3.33"/>
    <col customWidth="1" min="6" max="6" width="12.89"/>
    <col customWidth="1" min="7" max="7" width="3.33"/>
    <col customWidth="1" min="8" max="26" width="10.56"/>
  </cols>
  <sheetData>
    <row r="1" ht="42.0" customHeight="1">
      <c r="A1" s="84"/>
      <c r="B1" s="85" t="s">
        <v>49</v>
      </c>
      <c r="C1" s="86"/>
      <c r="D1" s="86"/>
      <c r="E1" s="86"/>
      <c r="F1" s="86"/>
      <c r="G1" s="86"/>
      <c r="H1" s="86"/>
      <c r="I1" s="86"/>
      <c r="J1" s="86"/>
      <c r="K1" s="84"/>
      <c r="L1" s="84"/>
      <c r="M1" s="84"/>
      <c r="N1" s="84"/>
      <c r="O1" s="84"/>
      <c r="P1" s="84"/>
      <c r="Q1" s="84"/>
      <c r="R1" s="16"/>
      <c r="S1" s="16"/>
      <c r="T1" s="16"/>
      <c r="U1" s="16"/>
      <c r="V1" s="16"/>
      <c r="W1" s="16"/>
      <c r="X1" s="16"/>
      <c r="Y1" s="16"/>
      <c r="Z1" s="16"/>
    </row>
    <row r="2" ht="24.75" customHeight="1">
      <c r="A2" s="16"/>
      <c r="B2" s="87" t="s">
        <v>50</v>
      </c>
      <c r="C2" s="16"/>
      <c r="D2" s="87" t="s">
        <v>51</v>
      </c>
      <c r="E2" s="16"/>
      <c r="F2" s="87" t="s">
        <v>9</v>
      </c>
      <c r="G2" s="16"/>
    </row>
    <row r="3" ht="34.5" customHeight="1">
      <c r="A3" s="16"/>
      <c r="B3" s="88" t="s">
        <v>52</v>
      </c>
      <c r="C3" s="16"/>
      <c r="D3" s="89" t="s">
        <v>53</v>
      </c>
      <c r="E3" s="16"/>
      <c r="F3" s="90" t="s">
        <v>28</v>
      </c>
      <c r="G3" s="16"/>
    </row>
    <row r="4" ht="34.5" customHeight="1">
      <c r="A4" s="16"/>
      <c r="B4" s="91" t="s">
        <v>54</v>
      </c>
      <c r="C4" s="16"/>
      <c r="D4" s="92" t="s">
        <v>55</v>
      </c>
      <c r="E4" s="16"/>
      <c r="F4" s="93" t="s">
        <v>56</v>
      </c>
      <c r="G4" s="16"/>
    </row>
    <row r="5" ht="34.5" customHeight="1">
      <c r="A5" s="16"/>
      <c r="B5" s="84"/>
      <c r="C5" s="16"/>
      <c r="D5" s="94" t="s">
        <v>57</v>
      </c>
      <c r="E5" s="16"/>
      <c r="F5" s="95" t="s">
        <v>58</v>
      </c>
      <c r="G5" s="16"/>
    </row>
    <row r="6" ht="34.5" customHeight="1">
      <c r="A6" s="16"/>
      <c r="B6" s="84"/>
      <c r="C6" s="16"/>
      <c r="D6" s="96"/>
      <c r="E6" s="16"/>
      <c r="F6" s="97" t="s">
        <v>59</v>
      </c>
      <c r="G6" s="16"/>
    </row>
    <row r="7" ht="34.5" customHeight="1">
      <c r="A7" s="16"/>
      <c r="B7" s="84"/>
      <c r="C7" s="16"/>
      <c r="D7" s="96"/>
      <c r="E7" s="16"/>
      <c r="F7" s="98" t="s">
        <v>60</v>
      </c>
      <c r="G7" s="16"/>
    </row>
    <row r="8" ht="34.5" customHeight="1">
      <c r="A8" s="16"/>
      <c r="B8" s="84"/>
      <c r="C8" s="16"/>
      <c r="E8" s="16"/>
      <c r="F8" s="99" t="s">
        <v>61</v>
      </c>
      <c r="G8" s="16"/>
    </row>
    <row r="9" ht="34.5" customHeight="1">
      <c r="A9" s="16"/>
      <c r="B9" s="16"/>
      <c r="C9" s="16"/>
      <c r="E9" s="16"/>
      <c r="F9" s="100" t="s">
        <v>62</v>
      </c>
      <c r="G9" s="16"/>
    </row>
    <row r="10" ht="34.5" customHeight="1">
      <c r="A10" s="16"/>
      <c r="B10" s="16"/>
      <c r="C10" s="16"/>
      <c r="D10" s="96"/>
      <c r="E10" s="16"/>
      <c r="F10" s="67"/>
      <c r="G10" s="16"/>
    </row>
    <row r="11" ht="34.5" customHeight="1">
      <c r="A11" s="16"/>
      <c r="B11" s="16"/>
      <c r="C11" s="16"/>
      <c r="D11" s="96"/>
      <c r="E11" s="16"/>
      <c r="F11" s="67"/>
      <c r="G11" s="16"/>
    </row>
    <row r="12" ht="15.75" customHeight="1">
      <c r="A12" s="16"/>
      <c r="B12" s="16"/>
      <c r="C12" s="16"/>
      <c r="D12" s="96"/>
      <c r="E12" s="16"/>
      <c r="F12" s="96"/>
      <c r="G12" s="16"/>
    </row>
    <row r="13" ht="15.75" customHeight="1">
      <c r="A13" s="16"/>
      <c r="B13" s="16"/>
      <c r="C13" s="16"/>
      <c r="D13" s="96"/>
      <c r="E13" s="16"/>
      <c r="F13" s="96"/>
      <c r="G13" s="16"/>
    </row>
    <row r="14" ht="15.75" customHeight="1">
      <c r="A14" s="16"/>
      <c r="B14" s="16"/>
      <c r="C14" s="16"/>
      <c r="D14" s="96"/>
      <c r="E14" s="16"/>
      <c r="F14" s="96"/>
      <c r="G14" s="16"/>
    </row>
    <row r="15" ht="15.75" customHeight="1">
      <c r="A15" s="16"/>
      <c r="B15" s="16"/>
      <c r="C15" s="16"/>
      <c r="D15" s="96"/>
      <c r="E15" s="16"/>
      <c r="F15" s="96"/>
      <c r="G15" s="16"/>
    </row>
    <row r="16" ht="15.75" customHeight="1">
      <c r="A16" s="16"/>
      <c r="B16" s="16"/>
      <c r="C16" s="16"/>
      <c r="D16" s="96"/>
      <c r="E16" s="16"/>
      <c r="F16" s="96"/>
      <c r="G16" s="16"/>
    </row>
    <row r="17" ht="15.75" customHeight="1">
      <c r="A17" s="16"/>
      <c r="B17" s="16"/>
      <c r="C17" s="16"/>
      <c r="D17" s="96"/>
      <c r="E17" s="16"/>
      <c r="G17" s="16"/>
    </row>
    <row r="18" ht="15.75" customHeight="1">
      <c r="A18" s="16"/>
      <c r="B18" s="16"/>
      <c r="C18" s="16"/>
      <c r="D18" s="96"/>
      <c r="E18" s="16"/>
      <c r="G18" s="16"/>
    </row>
    <row r="19" ht="15.75" customHeight="1">
      <c r="A19" s="16"/>
      <c r="B19" s="16"/>
      <c r="C19" s="16"/>
      <c r="D19" s="96"/>
      <c r="E19" s="16"/>
      <c r="G19" s="16"/>
    </row>
    <row r="20" ht="15.75" customHeight="1">
      <c r="A20" s="16"/>
      <c r="B20" s="16"/>
      <c r="C20" s="16"/>
      <c r="D20" s="96"/>
      <c r="E20" s="16"/>
      <c r="G20" s="16"/>
    </row>
    <row r="21" ht="15.75" customHeight="1">
      <c r="A21" s="16"/>
      <c r="B21" s="16"/>
      <c r="C21" s="16"/>
      <c r="D21" s="96"/>
      <c r="E21" s="16"/>
      <c r="G21" s="16"/>
    </row>
    <row r="22" ht="15.75" customHeight="1">
      <c r="A22" s="16"/>
      <c r="B22" s="16"/>
      <c r="C22" s="16"/>
      <c r="D22" s="96"/>
      <c r="E22" s="16"/>
      <c r="G22" s="16"/>
    </row>
    <row r="23" ht="15.75" customHeight="1">
      <c r="A23" s="16"/>
      <c r="B23" s="16"/>
      <c r="C23" s="16"/>
      <c r="D23" s="96"/>
      <c r="E23" s="16"/>
      <c r="G23" s="16"/>
    </row>
    <row r="24" ht="15.75" customHeight="1">
      <c r="A24" s="16"/>
      <c r="B24" s="16"/>
      <c r="C24" s="16"/>
      <c r="D24" s="96"/>
      <c r="E24" s="16"/>
      <c r="G24" s="16"/>
    </row>
    <row r="25" ht="15.75" customHeight="1">
      <c r="A25" s="16"/>
      <c r="B25" s="16"/>
      <c r="C25" s="16"/>
      <c r="D25" s="96"/>
      <c r="E25" s="16"/>
      <c r="G25" s="16"/>
    </row>
    <row r="26" ht="15.75" customHeight="1">
      <c r="A26" s="16"/>
      <c r="B26" s="16"/>
      <c r="C26" s="16"/>
      <c r="D26" s="96"/>
      <c r="E26" s="16"/>
      <c r="G26" s="16"/>
    </row>
    <row r="27" ht="15.75" customHeight="1">
      <c r="A27" s="16"/>
      <c r="B27" s="16"/>
      <c r="C27" s="16"/>
      <c r="D27" s="96"/>
      <c r="E27" s="16"/>
      <c r="G27" s="16"/>
    </row>
    <row r="28" ht="15.75" customHeight="1">
      <c r="A28" s="16"/>
      <c r="B28" s="16"/>
      <c r="C28" s="16"/>
      <c r="D28" s="96"/>
      <c r="E28" s="16"/>
      <c r="G28" s="16"/>
    </row>
    <row r="29" ht="15.75" customHeight="1">
      <c r="A29" s="16"/>
      <c r="B29" s="16"/>
      <c r="C29" s="16"/>
      <c r="D29" s="96"/>
      <c r="E29" s="16"/>
      <c r="G29" s="16"/>
    </row>
    <row r="30" ht="15.75" customHeight="1">
      <c r="A30" s="16"/>
      <c r="B30" s="16"/>
      <c r="C30" s="16"/>
      <c r="D30" s="96"/>
      <c r="E30" s="16"/>
      <c r="G30" s="16"/>
    </row>
    <row r="31" ht="15.75" customHeight="1">
      <c r="A31" s="16"/>
      <c r="B31" s="16"/>
      <c r="C31" s="16"/>
      <c r="D31" s="96"/>
      <c r="E31" s="16"/>
      <c r="G31" s="16"/>
    </row>
    <row r="32" ht="15.75" customHeight="1">
      <c r="D32" s="96"/>
    </row>
    <row r="33" ht="15.75" customHeight="1">
      <c r="A33" s="16"/>
      <c r="B33" s="16"/>
      <c r="C33" s="16"/>
      <c r="E33" s="16"/>
      <c r="G33" s="16"/>
    </row>
    <row r="34" ht="15.75" customHeight="1">
      <c r="A34" s="16"/>
      <c r="B34" s="16"/>
      <c r="C34" s="16"/>
      <c r="E34" s="16"/>
      <c r="G34" s="16"/>
    </row>
    <row r="35" ht="15.75" customHeight="1">
      <c r="A35" s="16"/>
      <c r="B35" s="16"/>
      <c r="C35" s="16"/>
      <c r="E35" s="16"/>
      <c r="G35" s="16"/>
    </row>
    <row r="36" ht="15.75" customHeight="1">
      <c r="A36" s="16"/>
      <c r="B36" s="16"/>
      <c r="C36" s="16"/>
      <c r="E36" s="16"/>
      <c r="G36" s="16"/>
    </row>
    <row r="37" ht="15.75" customHeight="1">
      <c r="A37" s="16"/>
      <c r="B37" s="16"/>
      <c r="C37" s="16"/>
      <c r="E37" s="16"/>
      <c r="G37" s="16"/>
    </row>
    <row r="38" ht="15.75" customHeight="1">
      <c r="A38" s="16"/>
      <c r="B38" s="16"/>
      <c r="C38" s="16"/>
      <c r="E38" s="16"/>
      <c r="G38" s="16"/>
    </row>
    <row r="39" ht="15.75" customHeight="1">
      <c r="A39" s="16"/>
      <c r="B39" s="16"/>
      <c r="C39" s="16"/>
      <c r="E39" s="16"/>
      <c r="G39" s="16"/>
    </row>
    <row r="40" ht="15.75" customHeight="1">
      <c r="A40" s="16"/>
      <c r="B40" s="16"/>
      <c r="C40" s="16"/>
      <c r="E40" s="16"/>
      <c r="G40" s="16"/>
    </row>
    <row r="41" ht="15.75" customHeight="1">
      <c r="A41" s="16"/>
      <c r="B41" s="16"/>
      <c r="C41" s="16"/>
      <c r="E41" s="16"/>
      <c r="G41" s="16"/>
    </row>
    <row r="42" ht="15.75" customHeight="1">
      <c r="A42" s="16"/>
      <c r="B42" s="16"/>
      <c r="C42" s="16"/>
      <c r="E42" s="16"/>
      <c r="G42" s="16"/>
    </row>
    <row r="43" ht="15.75" customHeight="1">
      <c r="A43" s="16"/>
      <c r="B43" s="16"/>
      <c r="C43" s="16"/>
      <c r="E43" s="16"/>
      <c r="G43" s="16"/>
    </row>
    <row r="44" ht="15.75" customHeight="1">
      <c r="A44" s="16"/>
      <c r="B44" s="16"/>
      <c r="C44" s="16"/>
      <c r="E44" s="16"/>
      <c r="G44" s="16"/>
    </row>
    <row r="45" ht="15.75" customHeight="1">
      <c r="A45" s="16"/>
      <c r="B45" s="16"/>
      <c r="C45" s="16"/>
      <c r="E45" s="16"/>
      <c r="G45" s="16"/>
    </row>
    <row r="46" ht="15.75" customHeight="1">
      <c r="A46" s="16"/>
      <c r="B46" s="16"/>
      <c r="C46" s="16"/>
      <c r="E46" s="16"/>
      <c r="G46" s="16"/>
    </row>
    <row r="47" ht="15.75" customHeight="1">
      <c r="A47" s="16"/>
      <c r="B47" s="16"/>
      <c r="C47" s="16"/>
      <c r="E47" s="16"/>
      <c r="G47" s="16"/>
    </row>
    <row r="48" ht="15.75" customHeight="1">
      <c r="A48" s="16"/>
      <c r="B48" s="16"/>
      <c r="C48" s="16"/>
      <c r="E48" s="16"/>
      <c r="G48" s="16"/>
    </row>
    <row r="49" ht="15.75" customHeight="1">
      <c r="A49" s="16"/>
      <c r="B49" s="16"/>
      <c r="C49" s="16"/>
      <c r="E49" s="16"/>
      <c r="G49" s="16"/>
    </row>
    <row r="50" ht="15.75" customHeight="1">
      <c r="A50" s="16"/>
      <c r="B50" s="16"/>
      <c r="C50" s="16"/>
      <c r="E50" s="16"/>
      <c r="G50" s="16"/>
    </row>
    <row r="51" ht="15.75" customHeight="1">
      <c r="A51" s="16"/>
      <c r="B51" s="16"/>
      <c r="C51" s="16"/>
      <c r="E51" s="16"/>
      <c r="G51" s="16"/>
    </row>
    <row r="52" ht="15.75" customHeight="1">
      <c r="A52" s="16"/>
      <c r="B52" s="16"/>
      <c r="C52" s="16"/>
      <c r="E52" s="16"/>
      <c r="G52" s="16"/>
    </row>
    <row r="53" ht="15.75" customHeight="1">
      <c r="A53" s="16"/>
      <c r="B53" s="16"/>
      <c r="C53" s="16"/>
      <c r="E53" s="16"/>
      <c r="G53" s="16"/>
    </row>
    <row r="54" ht="15.75" customHeight="1">
      <c r="A54" s="16"/>
      <c r="B54" s="16"/>
      <c r="C54" s="16"/>
      <c r="E54" s="16"/>
      <c r="G54" s="16"/>
    </row>
    <row r="55" ht="15.75" customHeight="1">
      <c r="A55" s="16"/>
      <c r="B55" s="16"/>
      <c r="C55" s="16"/>
      <c r="E55" s="16"/>
      <c r="G55" s="16"/>
    </row>
    <row r="56" ht="15.75" customHeight="1">
      <c r="A56" s="16"/>
      <c r="B56" s="16"/>
      <c r="C56" s="16"/>
      <c r="E56" s="16"/>
      <c r="G56" s="16"/>
    </row>
    <row r="57" ht="15.75" customHeight="1">
      <c r="A57" s="16"/>
      <c r="B57" s="16"/>
      <c r="C57" s="16"/>
      <c r="E57" s="16"/>
      <c r="G57" s="16"/>
    </row>
    <row r="58" ht="15.75" customHeight="1">
      <c r="A58" s="16"/>
      <c r="B58" s="16"/>
      <c r="C58" s="16"/>
      <c r="E58" s="16"/>
      <c r="G58" s="16"/>
    </row>
    <row r="59" ht="15.75" customHeight="1">
      <c r="A59" s="16"/>
      <c r="B59" s="16"/>
      <c r="C59" s="16"/>
      <c r="E59" s="16"/>
      <c r="G59" s="16"/>
    </row>
    <row r="60" ht="15.75" customHeight="1">
      <c r="A60" s="16"/>
      <c r="B60" s="16"/>
      <c r="C60" s="16"/>
      <c r="E60" s="16"/>
      <c r="G60" s="16"/>
    </row>
    <row r="61" ht="15.75" customHeight="1">
      <c r="A61" s="16"/>
      <c r="B61" s="16"/>
      <c r="C61" s="16"/>
      <c r="E61" s="16"/>
      <c r="G61" s="16"/>
    </row>
    <row r="62" ht="15.75" customHeight="1">
      <c r="A62" s="84"/>
      <c r="B62" s="84"/>
      <c r="C62" s="84"/>
      <c r="E62" s="84"/>
      <c r="G62" s="84"/>
    </row>
    <row r="63" ht="15.75" customHeight="1">
      <c r="A63" s="84"/>
      <c r="B63" s="84"/>
      <c r="C63" s="84"/>
      <c r="E63" s="84"/>
      <c r="G63" s="84"/>
    </row>
    <row r="64" ht="15.75" customHeight="1">
      <c r="A64" s="84"/>
      <c r="B64" s="84"/>
      <c r="C64" s="84"/>
      <c r="E64" s="84"/>
      <c r="G64" s="84"/>
    </row>
    <row r="65" ht="15.75" customHeight="1">
      <c r="A65" s="84"/>
      <c r="B65" s="84"/>
      <c r="C65" s="84"/>
      <c r="E65" s="84"/>
      <c r="G65" s="84"/>
    </row>
    <row r="66" ht="15.75" customHeight="1">
      <c r="A66" s="84"/>
      <c r="B66" s="84"/>
      <c r="C66" s="84"/>
      <c r="E66" s="84"/>
      <c r="G66" s="84"/>
    </row>
    <row r="67" ht="15.75" customHeight="1">
      <c r="A67" s="84"/>
      <c r="B67" s="84"/>
      <c r="C67" s="84"/>
      <c r="E67" s="84"/>
      <c r="G67" s="84"/>
    </row>
    <row r="68" ht="15.75" customHeight="1">
      <c r="A68" s="84"/>
      <c r="B68" s="84"/>
      <c r="C68" s="84"/>
      <c r="E68" s="84"/>
      <c r="G68" s="84"/>
    </row>
    <row r="69" ht="15.75" customHeight="1">
      <c r="A69" s="84"/>
      <c r="B69" s="84"/>
      <c r="C69" s="84"/>
      <c r="E69" s="84"/>
      <c r="G69" s="84"/>
    </row>
    <row r="70" ht="15.75" customHeight="1">
      <c r="A70" s="84"/>
      <c r="B70" s="84"/>
      <c r="C70" s="84"/>
      <c r="E70" s="84"/>
      <c r="G70" s="84"/>
    </row>
    <row r="71" ht="15.75" customHeight="1">
      <c r="A71" s="84"/>
      <c r="B71" s="84"/>
      <c r="C71" s="84"/>
      <c r="E71" s="84"/>
      <c r="G71" s="84"/>
    </row>
    <row r="72" ht="15.75" customHeight="1">
      <c r="A72" s="84"/>
      <c r="B72" s="84"/>
      <c r="C72" s="84"/>
      <c r="E72" s="84"/>
      <c r="G72" s="84"/>
    </row>
    <row r="73" ht="15.75" customHeight="1">
      <c r="A73" s="84"/>
      <c r="B73" s="84"/>
      <c r="C73" s="84"/>
      <c r="E73" s="84"/>
      <c r="G73" s="84"/>
    </row>
    <row r="74" ht="15.75" customHeight="1">
      <c r="A74" s="84"/>
      <c r="B74" s="84"/>
      <c r="C74" s="84"/>
      <c r="E74" s="84"/>
      <c r="G74" s="84"/>
    </row>
    <row r="75" ht="15.75" customHeight="1">
      <c r="A75" s="84"/>
      <c r="B75" s="84"/>
      <c r="C75" s="84"/>
      <c r="E75" s="84"/>
      <c r="G75" s="84"/>
    </row>
    <row r="76" ht="15.75" customHeight="1">
      <c r="A76" s="84"/>
      <c r="B76" s="84"/>
      <c r="C76" s="84"/>
      <c r="E76" s="84"/>
      <c r="G76" s="84"/>
    </row>
    <row r="77" ht="15.75" customHeight="1">
      <c r="A77" s="84"/>
      <c r="B77" s="84"/>
      <c r="C77" s="84"/>
      <c r="E77" s="84"/>
      <c r="G77" s="84"/>
    </row>
    <row r="78" ht="15.75" customHeight="1">
      <c r="A78" s="84"/>
      <c r="B78" s="84"/>
      <c r="C78" s="84"/>
      <c r="E78" s="84"/>
      <c r="G78" s="84"/>
    </row>
    <row r="79" ht="15.75" customHeight="1">
      <c r="A79" s="84"/>
      <c r="B79" s="84"/>
      <c r="C79" s="84"/>
      <c r="E79" s="84"/>
      <c r="G79" s="84"/>
    </row>
    <row r="80" ht="15.75" customHeight="1">
      <c r="A80" s="84"/>
      <c r="B80" s="84"/>
      <c r="C80" s="84"/>
      <c r="E80" s="84"/>
      <c r="G80" s="84"/>
    </row>
    <row r="81" ht="15.75" customHeight="1">
      <c r="A81" s="84"/>
      <c r="B81" s="84"/>
      <c r="C81" s="84"/>
      <c r="E81" s="84"/>
      <c r="G81" s="84"/>
    </row>
    <row r="82" ht="15.75" customHeight="1">
      <c r="A82" s="84"/>
      <c r="B82" s="84"/>
      <c r="C82" s="84"/>
      <c r="E82" s="84"/>
      <c r="G82" s="84"/>
    </row>
    <row r="83" ht="15.75" customHeight="1">
      <c r="A83" s="84"/>
      <c r="B83" s="84"/>
      <c r="C83" s="84"/>
      <c r="E83" s="84"/>
      <c r="G83" s="84"/>
    </row>
    <row r="84" ht="15.75" customHeight="1">
      <c r="A84" s="84"/>
      <c r="B84" s="84"/>
      <c r="C84" s="84"/>
      <c r="E84" s="84"/>
      <c r="G84" s="84"/>
    </row>
    <row r="85" ht="15.75" customHeight="1">
      <c r="A85" s="84"/>
      <c r="B85" s="84"/>
      <c r="C85" s="84"/>
      <c r="E85" s="84"/>
      <c r="G85" s="84"/>
    </row>
    <row r="86" ht="15.75" customHeight="1">
      <c r="A86" s="84"/>
      <c r="B86" s="84"/>
      <c r="C86" s="84"/>
      <c r="E86" s="84"/>
      <c r="G86" s="84"/>
    </row>
    <row r="87" ht="15.75" customHeight="1">
      <c r="A87" s="84"/>
      <c r="B87" s="84"/>
      <c r="C87" s="84"/>
      <c r="E87" s="84"/>
      <c r="G87" s="84"/>
    </row>
    <row r="88" ht="15.75" customHeight="1">
      <c r="A88" s="84"/>
      <c r="B88" s="84"/>
      <c r="C88" s="84"/>
      <c r="E88" s="84"/>
      <c r="G88" s="84"/>
    </row>
    <row r="89" ht="15.75" customHeight="1">
      <c r="A89" s="84"/>
      <c r="B89" s="84"/>
      <c r="C89" s="84"/>
      <c r="E89" s="84"/>
      <c r="G89" s="84"/>
    </row>
    <row r="90" ht="15.75" customHeight="1">
      <c r="A90" s="84"/>
      <c r="B90" s="84"/>
      <c r="C90" s="84"/>
      <c r="E90" s="84"/>
      <c r="G90" s="84"/>
    </row>
    <row r="91" ht="15.75" customHeight="1">
      <c r="A91" s="84"/>
      <c r="B91" s="84"/>
      <c r="C91" s="84"/>
      <c r="E91" s="84"/>
      <c r="G91" s="84"/>
    </row>
    <row r="92" ht="15.75" customHeight="1">
      <c r="A92" s="84"/>
      <c r="B92" s="84"/>
      <c r="C92" s="84"/>
      <c r="E92" s="84"/>
      <c r="G92" s="84"/>
    </row>
    <row r="93" ht="15.75" customHeight="1">
      <c r="A93" s="84"/>
      <c r="B93" s="84"/>
      <c r="C93" s="84"/>
      <c r="E93" s="84"/>
      <c r="G93" s="84"/>
    </row>
    <row r="94" ht="15.75" customHeight="1">
      <c r="A94" s="84"/>
      <c r="B94" s="84"/>
      <c r="C94" s="84"/>
      <c r="E94" s="84"/>
      <c r="G94" s="84"/>
    </row>
    <row r="95" ht="15.75" customHeight="1">
      <c r="A95" s="84"/>
      <c r="B95" s="84"/>
      <c r="C95" s="84"/>
      <c r="E95" s="84"/>
      <c r="G95" s="84"/>
    </row>
    <row r="96" ht="15.75" customHeight="1">
      <c r="A96" s="84"/>
      <c r="B96" s="84"/>
      <c r="C96" s="84"/>
      <c r="E96" s="84"/>
      <c r="G96" s="84"/>
    </row>
    <row r="97" ht="15.75" customHeight="1">
      <c r="A97" s="84"/>
      <c r="B97" s="84"/>
      <c r="C97" s="84"/>
      <c r="E97" s="84"/>
      <c r="G97" s="84"/>
    </row>
    <row r="98" ht="15.75" customHeight="1">
      <c r="A98" s="84"/>
      <c r="B98" s="84"/>
      <c r="C98" s="84"/>
      <c r="E98" s="84"/>
      <c r="G98" s="84"/>
    </row>
    <row r="99" ht="15.75" customHeight="1">
      <c r="A99" s="84"/>
      <c r="B99" s="84"/>
      <c r="C99" s="84"/>
      <c r="E99" s="84"/>
      <c r="G99" s="84"/>
    </row>
    <row r="100" ht="15.75" customHeight="1">
      <c r="A100" s="84"/>
      <c r="B100" s="84"/>
      <c r="C100" s="84"/>
      <c r="E100" s="84"/>
      <c r="G100" s="84"/>
    </row>
    <row r="101" ht="15.75" customHeight="1">
      <c r="A101" s="84"/>
      <c r="B101" s="84"/>
      <c r="C101" s="84"/>
      <c r="E101" s="84"/>
      <c r="G101" s="84"/>
    </row>
    <row r="102" ht="15.75" customHeight="1">
      <c r="A102" s="84"/>
      <c r="B102" s="84"/>
      <c r="C102" s="84"/>
      <c r="E102" s="84"/>
      <c r="G102" s="84"/>
    </row>
    <row r="103" ht="15.75" customHeight="1">
      <c r="A103" s="84"/>
      <c r="B103" s="84"/>
      <c r="C103" s="84"/>
      <c r="E103" s="84"/>
      <c r="G103" s="84"/>
    </row>
    <row r="104" ht="15.75" customHeight="1">
      <c r="A104" s="84"/>
      <c r="B104" s="84"/>
      <c r="C104" s="84"/>
      <c r="E104" s="84"/>
      <c r="G104" s="84"/>
    </row>
    <row r="105" ht="15.75" customHeight="1">
      <c r="A105" s="84"/>
      <c r="B105" s="84"/>
      <c r="C105" s="84"/>
      <c r="E105" s="84"/>
      <c r="G105" s="84"/>
    </row>
    <row r="106" ht="15.75" customHeight="1">
      <c r="A106" s="84"/>
      <c r="B106" s="84"/>
      <c r="C106" s="84"/>
      <c r="E106" s="84"/>
      <c r="G106" s="84"/>
    </row>
    <row r="107" ht="15.75" customHeight="1">
      <c r="A107" s="84"/>
      <c r="B107" s="84"/>
      <c r="C107" s="84"/>
      <c r="E107" s="84"/>
      <c r="G107" s="84"/>
    </row>
    <row r="108" ht="15.75" customHeight="1">
      <c r="A108" s="84"/>
      <c r="B108" s="84"/>
      <c r="C108" s="84"/>
      <c r="E108" s="84"/>
      <c r="G108" s="84"/>
    </row>
    <row r="109" ht="15.75" customHeight="1">
      <c r="A109" s="84"/>
      <c r="B109" s="84"/>
      <c r="C109" s="84"/>
      <c r="E109" s="84"/>
      <c r="G109" s="84"/>
    </row>
    <row r="110" ht="15.75" customHeight="1">
      <c r="A110" s="84"/>
      <c r="B110" s="84"/>
      <c r="C110" s="84"/>
      <c r="E110" s="84"/>
      <c r="G110" s="84"/>
    </row>
    <row r="111" ht="15.75" customHeight="1">
      <c r="A111" s="84"/>
      <c r="B111" s="84"/>
      <c r="C111" s="84"/>
      <c r="E111" s="84"/>
      <c r="G111" s="84"/>
    </row>
    <row r="112" ht="15.75" customHeight="1">
      <c r="A112" s="84"/>
      <c r="B112" s="84"/>
      <c r="C112" s="84"/>
      <c r="E112" s="84"/>
      <c r="G112" s="84"/>
    </row>
    <row r="113" ht="15.75" customHeight="1">
      <c r="A113" s="84"/>
      <c r="B113" s="84"/>
      <c r="C113" s="84"/>
      <c r="E113" s="84"/>
      <c r="G113" s="84"/>
    </row>
    <row r="114" ht="15.75" customHeight="1">
      <c r="A114" s="84"/>
      <c r="B114" s="84"/>
      <c r="C114" s="84"/>
      <c r="E114" s="84"/>
      <c r="G114" s="84"/>
    </row>
    <row r="115" ht="15.75" customHeight="1">
      <c r="A115" s="84"/>
      <c r="B115" s="84"/>
      <c r="C115" s="84"/>
      <c r="E115" s="84"/>
      <c r="G115" s="84"/>
    </row>
    <row r="116" ht="15.75" customHeight="1">
      <c r="A116" s="84"/>
      <c r="B116" s="84"/>
      <c r="C116" s="84"/>
      <c r="E116" s="84"/>
      <c r="G116" s="84"/>
    </row>
    <row r="117" ht="15.75" customHeight="1">
      <c r="A117" s="84"/>
      <c r="B117" s="84"/>
      <c r="C117" s="84"/>
      <c r="E117" s="84"/>
      <c r="G117" s="84"/>
    </row>
    <row r="118" ht="15.75" customHeight="1">
      <c r="A118" s="84"/>
      <c r="B118" s="84"/>
      <c r="C118" s="84"/>
      <c r="E118" s="84"/>
      <c r="G118" s="84"/>
    </row>
    <row r="119" ht="15.75" customHeight="1">
      <c r="A119" s="84"/>
      <c r="B119" s="84"/>
      <c r="C119" s="84"/>
      <c r="E119" s="84"/>
      <c r="G119" s="84"/>
    </row>
    <row r="120" ht="15.75" customHeight="1">
      <c r="A120" s="84"/>
      <c r="B120" s="84"/>
      <c r="C120" s="84"/>
      <c r="E120" s="84"/>
      <c r="G120" s="84"/>
    </row>
    <row r="121" ht="15.75" customHeight="1">
      <c r="A121" s="84"/>
      <c r="B121" s="84"/>
      <c r="C121" s="84"/>
      <c r="E121" s="84"/>
      <c r="G121" s="84"/>
    </row>
    <row r="122" ht="15.75" customHeight="1">
      <c r="A122" s="84"/>
      <c r="B122" s="84"/>
      <c r="C122" s="84"/>
      <c r="E122" s="84"/>
      <c r="G122" s="84"/>
    </row>
    <row r="123" ht="15.75" customHeight="1">
      <c r="A123" s="84"/>
      <c r="B123" s="84"/>
      <c r="C123" s="84"/>
      <c r="E123" s="84"/>
      <c r="G123" s="84"/>
    </row>
    <row r="124" ht="15.75" customHeight="1">
      <c r="A124" s="84"/>
      <c r="B124" s="84"/>
      <c r="C124" s="84"/>
      <c r="E124" s="84"/>
      <c r="G124" s="84"/>
    </row>
    <row r="125" ht="15.75" customHeight="1">
      <c r="A125" s="84"/>
      <c r="B125" s="84"/>
      <c r="C125" s="84"/>
      <c r="E125" s="84"/>
      <c r="G125" s="84"/>
    </row>
    <row r="126" ht="15.75" customHeight="1">
      <c r="A126" s="84"/>
      <c r="B126" s="84"/>
      <c r="C126" s="84"/>
      <c r="E126" s="84"/>
      <c r="G126" s="84"/>
    </row>
    <row r="127" ht="15.75" customHeight="1">
      <c r="A127" s="84"/>
      <c r="B127" s="84"/>
      <c r="C127" s="84"/>
      <c r="E127" s="84"/>
      <c r="G127" s="84"/>
    </row>
    <row r="128" ht="15.75" customHeight="1">
      <c r="A128" s="84"/>
      <c r="B128" s="84"/>
      <c r="C128" s="84"/>
      <c r="E128" s="84"/>
      <c r="G128" s="84"/>
    </row>
    <row r="129" ht="15.75" customHeight="1">
      <c r="A129" s="84"/>
      <c r="B129" s="84"/>
      <c r="C129" s="84"/>
      <c r="E129" s="84"/>
      <c r="G129" s="84"/>
    </row>
    <row r="130" ht="15.75" customHeight="1">
      <c r="A130" s="84"/>
      <c r="B130" s="84"/>
      <c r="C130" s="84"/>
      <c r="E130" s="84"/>
      <c r="G130" s="84"/>
    </row>
    <row r="131" ht="15.75" customHeight="1">
      <c r="A131" s="84"/>
      <c r="B131" s="84"/>
      <c r="C131" s="84"/>
      <c r="E131" s="84"/>
      <c r="G131" s="84"/>
    </row>
    <row r="132" ht="15.75" customHeight="1">
      <c r="A132" s="84"/>
      <c r="B132" s="84"/>
      <c r="C132" s="84"/>
      <c r="E132" s="84"/>
      <c r="G132" s="84"/>
    </row>
    <row r="133" ht="15.75" customHeight="1">
      <c r="A133" s="84"/>
      <c r="B133" s="84"/>
      <c r="C133" s="84"/>
      <c r="E133" s="84"/>
      <c r="G133" s="84"/>
    </row>
    <row r="134" ht="15.75" customHeight="1">
      <c r="A134" s="84"/>
      <c r="B134" s="84"/>
      <c r="C134" s="84"/>
      <c r="E134" s="84"/>
      <c r="G134" s="84"/>
    </row>
    <row r="135" ht="15.75" customHeight="1">
      <c r="A135" s="84"/>
      <c r="B135" s="84"/>
      <c r="C135" s="84"/>
      <c r="E135" s="84"/>
      <c r="G135" s="84"/>
    </row>
    <row r="136" ht="15.75" customHeight="1">
      <c r="A136" s="84"/>
      <c r="B136" s="84"/>
      <c r="C136" s="84"/>
      <c r="E136" s="84"/>
      <c r="G136" s="84"/>
    </row>
    <row r="137" ht="15.75" customHeight="1">
      <c r="A137" s="84"/>
      <c r="B137" s="84"/>
      <c r="C137" s="84"/>
      <c r="E137" s="84"/>
      <c r="G137" s="84"/>
    </row>
    <row r="138" ht="15.75" customHeight="1">
      <c r="A138" s="84"/>
      <c r="B138" s="84"/>
      <c r="C138" s="84"/>
      <c r="E138" s="84"/>
      <c r="G138" s="84"/>
    </row>
    <row r="139" ht="15.75" customHeight="1">
      <c r="A139" s="84"/>
      <c r="B139" s="84"/>
      <c r="C139" s="84"/>
      <c r="E139" s="84"/>
      <c r="G139" s="84"/>
    </row>
    <row r="140" ht="15.75" customHeight="1">
      <c r="A140" s="84"/>
      <c r="B140" s="84"/>
      <c r="C140" s="84"/>
      <c r="E140" s="84"/>
      <c r="G140" s="84"/>
    </row>
    <row r="141" ht="15.75" customHeight="1">
      <c r="A141" s="84"/>
      <c r="B141" s="84"/>
      <c r="C141" s="84"/>
      <c r="E141" s="84"/>
      <c r="G141" s="84"/>
    </row>
    <row r="142" ht="15.75" customHeight="1">
      <c r="A142" s="84"/>
      <c r="B142" s="84"/>
      <c r="C142" s="84"/>
      <c r="E142" s="84"/>
      <c r="G142" s="84"/>
    </row>
    <row r="143" ht="15.75" customHeight="1">
      <c r="A143" s="84"/>
      <c r="B143" s="84"/>
      <c r="C143" s="84"/>
      <c r="E143" s="84"/>
      <c r="G143" s="84"/>
    </row>
    <row r="144" ht="15.75" customHeight="1">
      <c r="A144" s="84"/>
      <c r="B144" s="84"/>
      <c r="C144" s="84"/>
      <c r="E144" s="84"/>
      <c r="G144" s="84"/>
    </row>
    <row r="145" ht="15.75" customHeight="1">
      <c r="A145" s="84"/>
      <c r="B145" s="84"/>
      <c r="C145" s="84"/>
      <c r="E145" s="84"/>
      <c r="G145" s="84"/>
    </row>
    <row r="146" ht="15.75" customHeight="1">
      <c r="A146" s="84"/>
      <c r="B146" s="84"/>
      <c r="C146" s="84"/>
      <c r="E146" s="84"/>
      <c r="G146" s="84"/>
    </row>
    <row r="147" ht="15.75" customHeight="1">
      <c r="A147" s="84"/>
      <c r="B147" s="84"/>
      <c r="C147" s="84"/>
      <c r="E147" s="84"/>
      <c r="G147" s="84"/>
    </row>
    <row r="148" ht="15.75" customHeight="1">
      <c r="A148" s="84"/>
      <c r="B148" s="84"/>
      <c r="C148" s="84"/>
      <c r="E148" s="84"/>
      <c r="G148" s="84"/>
    </row>
    <row r="149" ht="15.75" customHeight="1">
      <c r="A149" s="84"/>
      <c r="B149" s="84"/>
      <c r="C149" s="84"/>
      <c r="E149" s="84"/>
      <c r="G149" s="84"/>
    </row>
    <row r="150" ht="15.75" customHeight="1">
      <c r="A150" s="84"/>
      <c r="B150" s="84"/>
      <c r="C150" s="84"/>
      <c r="E150" s="84"/>
      <c r="G150" s="84"/>
    </row>
    <row r="151" ht="15.75" customHeight="1">
      <c r="A151" s="84"/>
      <c r="B151" s="84"/>
      <c r="C151" s="84"/>
      <c r="E151" s="84"/>
      <c r="G151" s="84"/>
    </row>
    <row r="152" ht="15.75" customHeight="1">
      <c r="A152" s="84"/>
      <c r="B152" s="84"/>
      <c r="C152" s="84"/>
      <c r="E152" s="84"/>
      <c r="G152" s="84"/>
    </row>
    <row r="153" ht="15.75" customHeight="1">
      <c r="A153" s="84"/>
      <c r="B153" s="84"/>
      <c r="C153" s="84"/>
      <c r="E153" s="84"/>
      <c r="G153" s="84"/>
    </row>
    <row r="154" ht="15.75" customHeight="1">
      <c r="A154" s="84"/>
      <c r="B154" s="84"/>
      <c r="C154" s="84"/>
      <c r="E154" s="84"/>
      <c r="G154" s="84"/>
    </row>
    <row r="155" ht="15.75" customHeight="1">
      <c r="A155" s="84"/>
      <c r="B155" s="84"/>
      <c r="C155" s="84"/>
      <c r="E155" s="84"/>
      <c r="G155" s="84"/>
    </row>
    <row r="156" ht="15.75" customHeight="1">
      <c r="A156" s="84"/>
      <c r="B156" s="84"/>
      <c r="C156" s="84"/>
      <c r="E156" s="84"/>
      <c r="G156" s="84"/>
    </row>
    <row r="157" ht="15.75" customHeight="1">
      <c r="A157" s="84"/>
      <c r="B157" s="84"/>
      <c r="C157" s="84"/>
      <c r="E157" s="84"/>
      <c r="G157" s="84"/>
    </row>
    <row r="158" ht="15.75" customHeight="1">
      <c r="A158" s="84"/>
      <c r="B158" s="84"/>
      <c r="C158" s="84"/>
      <c r="E158" s="84"/>
      <c r="G158" s="84"/>
    </row>
    <row r="159" ht="15.75" customHeight="1">
      <c r="A159" s="84"/>
      <c r="B159" s="84"/>
      <c r="C159" s="84"/>
      <c r="E159" s="84"/>
      <c r="G159" s="84"/>
    </row>
    <row r="160" ht="15.75" customHeight="1">
      <c r="A160" s="84"/>
      <c r="B160" s="84"/>
      <c r="C160" s="84"/>
      <c r="E160" s="84"/>
      <c r="G160" s="84"/>
    </row>
    <row r="161" ht="15.75" customHeight="1">
      <c r="A161" s="84"/>
      <c r="B161" s="84"/>
      <c r="C161" s="84"/>
      <c r="E161" s="84"/>
      <c r="G161" s="84"/>
    </row>
    <row r="162" ht="15.75" customHeight="1">
      <c r="A162" s="84"/>
      <c r="B162" s="84"/>
      <c r="C162" s="84"/>
      <c r="E162" s="84"/>
      <c r="G162" s="84"/>
    </row>
    <row r="163" ht="15.75" customHeight="1">
      <c r="A163" s="84"/>
      <c r="B163" s="84"/>
      <c r="C163" s="84"/>
      <c r="E163" s="84"/>
      <c r="G163" s="84"/>
    </row>
    <row r="164" ht="15.75" customHeight="1">
      <c r="A164" s="84"/>
      <c r="B164" s="84"/>
      <c r="C164" s="84"/>
      <c r="E164" s="84"/>
      <c r="G164" s="84"/>
    </row>
    <row r="165" ht="15.75" customHeight="1">
      <c r="A165" s="84"/>
      <c r="B165" s="84"/>
      <c r="C165" s="84"/>
      <c r="E165" s="84"/>
      <c r="G165" s="84"/>
    </row>
    <row r="166" ht="15.75" customHeight="1">
      <c r="A166" s="84"/>
      <c r="B166" s="84"/>
      <c r="C166" s="84"/>
      <c r="E166" s="84"/>
      <c r="G166" s="84"/>
    </row>
    <row r="167" ht="15.75" customHeight="1">
      <c r="A167" s="84"/>
      <c r="B167" s="84"/>
      <c r="C167" s="84"/>
      <c r="E167" s="84"/>
      <c r="G167" s="84"/>
    </row>
    <row r="168" ht="15.75" customHeight="1">
      <c r="A168" s="84"/>
      <c r="B168" s="84"/>
      <c r="C168" s="84"/>
      <c r="E168" s="84"/>
      <c r="G168" s="84"/>
    </row>
    <row r="169" ht="15.75" customHeight="1">
      <c r="A169" s="84"/>
      <c r="B169" s="84"/>
      <c r="C169" s="84"/>
      <c r="E169" s="84"/>
      <c r="G169" s="84"/>
    </row>
    <row r="170" ht="15.75" customHeight="1">
      <c r="A170" s="84"/>
      <c r="B170" s="84"/>
      <c r="C170" s="84"/>
      <c r="E170" s="84"/>
      <c r="G170" s="84"/>
    </row>
    <row r="171" ht="15.75" customHeight="1">
      <c r="A171" s="84"/>
      <c r="B171" s="84"/>
      <c r="C171" s="84"/>
      <c r="E171" s="84"/>
      <c r="G171" s="84"/>
    </row>
    <row r="172" ht="15.75" customHeight="1">
      <c r="A172" s="84"/>
      <c r="B172" s="84"/>
      <c r="C172" s="84"/>
      <c r="E172" s="84"/>
      <c r="G172" s="84"/>
    </row>
    <row r="173" ht="15.75" customHeight="1">
      <c r="A173" s="84"/>
      <c r="B173" s="84"/>
      <c r="C173" s="84"/>
      <c r="E173" s="84"/>
      <c r="G173" s="84"/>
    </row>
    <row r="174" ht="15.75" customHeight="1">
      <c r="A174" s="84"/>
      <c r="B174" s="84"/>
      <c r="C174" s="84"/>
      <c r="E174" s="84"/>
      <c r="G174" s="84"/>
    </row>
    <row r="175" ht="15.75" customHeight="1">
      <c r="A175" s="84"/>
      <c r="B175" s="84"/>
      <c r="C175" s="84"/>
      <c r="E175" s="84"/>
      <c r="G175" s="84"/>
    </row>
    <row r="176" ht="15.75" customHeight="1">
      <c r="A176" s="84"/>
      <c r="B176" s="84"/>
      <c r="C176" s="84"/>
      <c r="E176" s="84"/>
      <c r="G176" s="84"/>
    </row>
    <row r="177" ht="15.75" customHeight="1">
      <c r="A177" s="84"/>
      <c r="B177" s="84"/>
      <c r="C177" s="84"/>
      <c r="E177" s="84"/>
      <c r="G177" s="84"/>
    </row>
    <row r="178" ht="15.75" customHeight="1">
      <c r="A178" s="84"/>
      <c r="B178" s="84"/>
      <c r="C178" s="84"/>
      <c r="E178" s="84"/>
      <c r="G178" s="84"/>
    </row>
    <row r="179" ht="15.75" customHeight="1">
      <c r="A179" s="84"/>
      <c r="B179" s="84"/>
      <c r="C179" s="84"/>
      <c r="E179" s="84"/>
      <c r="G179" s="84"/>
    </row>
    <row r="180" ht="15.75" customHeight="1">
      <c r="A180" s="84"/>
      <c r="B180" s="84"/>
      <c r="C180" s="84"/>
      <c r="E180" s="84"/>
      <c r="G180" s="84"/>
    </row>
    <row r="181" ht="15.75" customHeight="1">
      <c r="A181" s="84"/>
      <c r="B181" s="84"/>
      <c r="C181" s="84"/>
      <c r="E181" s="84"/>
      <c r="G181" s="84"/>
    </row>
    <row r="182" ht="15.75" customHeight="1">
      <c r="A182" s="84"/>
      <c r="B182" s="84"/>
      <c r="C182" s="84"/>
      <c r="E182" s="84"/>
      <c r="G182" s="84"/>
    </row>
    <row r="183" ht="15.75" customHeight="1">
      <c r="A183" s="84"/>
      <c r="B183" s="84"/>
      <c r="C183" s="84"/>
      <c r="E183" s="84"/>
      <c r="G183" s="84"/>
    </row>
    <row r="184" ht="15.75" customHeight="1">
      <c r="A184" s="84"/>
      <c r="B184" s="84"/>
      <c r="C184" s="84"/>
      <c r="E184" s="84"/>
      <c r="G184" s="84"/>
    </row>
    <row r="185" ht="15.75" customHeight="1">
      <c r="A185" s="84"/>
      <c r="B185" s="84"/>
      <c r="C185" s="84"/>
      <c r="E185" s="84"/>
      <c r="G185" s="84"/>
    </row>
    <row r="186" ht="15.75" customHeight="1">
      <c r="A186" s="84"/>
      <c r="B186" s="84"/>
      <c r="C186" s="84"/>
      <c r="E186" s="84"/>
      <c r="G186" s="84"/>
    </row>
    <row r="187" ht="15.75" customHeight="1">
      <c r="A187" s="84"/>
      <c r="B187" s="84"/>
      <c r="C187" s="84"/>
      <c r="E187" s="84"/>
      <c r="G187" s="84"/>
    </row>
    <row r="188" ht="15.75" customHeight="1">
      <c r="A188" s="84"/>
      <c r="B188" s="84"/>
      <c r="C188" s="84"/>
      <c r="E188" s="84"/>
      <c r="G188" s="84"/>
    </row>
    <row r="189" ht="15.75" customHeight="1">
      <c r="A189" s="84"/>
      <c r="B189" s="84"/>
      <c r="C189" s="84"/>
      <c r="E189" s="84"/>
      <c r="G189" s="84"/>
    </row>
    <row r="190" ht="15.75" customHeight="1">
      <c r="A190" s="84"/>
      <c r="B190" s="84"/>
      <c r="C190" s="84"/>
      <c r="E190" s="84"/>
      <c r="G190" s="84"/>
    </row>
    <row r="191" ht="15.75" customHeight="1">
      <c r="A191" s="84"/>
      <c r="B191" s="84"/>
      <c r="C191" s="84"/>
      <c r="E191" s="84"/>
      <c r="G191" s="84"/>
    </row>
    <row r="192" ht="15.75" customHeight="1">
      <c r="A192" s="84"/>
      <c r="B192" s="84"/>
      <c r="C192" s="84"/>
      <c r="E192" s="84"/>
      <c r="G192" s="84"/>
    </row>
    <row r="193" ht="15.75" customHeight="1">
      <c r="A193" s="84"/>
      <c r="B193" s="84"/>
      <c r="C193" s="84"/>
      <c r="E193" s="84"/>
      <c r="G193" s="84"/>
    </row>
    <row r="194" ht="15.75" customHeight="1">
      <c r="A194" s="84"/>
      <c r="B194" s="84"/>
      <c r="C194" s="84"/>
      <c r="E194" s="84"/>
      <c r="G194" s="84"/>
    </row>
    <row r="195" ht="15.75" customHeight="1">
      <c r="A195" s="84"/>
      <c r="B195" s="84"/>
      <c r="C195" s="84"/>
      <c r="E195" s="84"/>
      <c r="G195" s="84"/>
    </row>
    <row r="196" ht="15.75" customHeight="1">
      <c r="A196" s="84"/>
      <c r="B196" s="84"/>
      <c r="C196" s="84"/>
      <c r="E196" s="84"/>
      <c r="G196" s="84"/>
    </row>
    <row r="197" ht="15.75" customHeight="1">
      <c r="A197" s="84"/>
      <c r="B197" s="84"/>
      <c r="C197" s="84"/>
      <c r="E197" s="84"/>
      <c r="G197" s="84"/>
    </row>
    <row r="198" ht="15.75" customHeight="1">
      <c r="A198" s="84"/>
      <c r="B198" s="84"/>
      <c r="C198" s="84"/>
      <c r="E198" s="84"/>
      <c r="G198" s="84"/>
    </row>
    <row r="199" ht="15.75" customHeight="1">
      <c r="A199" s="84"/>
      <c r="B199" s="84"/>
      <c r="C199" s="84"/>
      <c r="E199" s="84"/>
      <c r="G199" s="84"/>
    </row>
    <row r="200" ht="15.75" customHeight="1">
      <c r="A200" s="84"/>
      <c r="B200" s="84"/>
      <c r="C200" s="84"/>
      <c r="E200" s="84"/>
      <c r="G200" s="84"/>
    </row>
    <row r="201" ht="15.75" customHeight="1">
      <c r="A201" s="84"/>
      <c r="B201" s="84"/>
      <c r="C201" s="84"/>
      <c r="E201" s="84"/>
      <c r="G201" s="84"/>
    </row>
    <row r="202" ht="15.75" customHeight="1">
      <c r="A202" s="84"/>
      <c r="B202" s="84"/>
      <c r="C202" s="84"/>
      <c r="E202" s="84"/>
      <c r="G202" s="84"/>
    </row>
    <row r="203" ht="15.75" customHeight="1">
      <c r="A203" s="84"/>
      <c r="B203" s="84"/>
      <c r="C203" s="84"/>
      <c r="E203" s="84"/>
      <c r="G203" s="84"/>
    </row>
    <row r="204" ht="15.75" customHeight="1">
      <c r="A204" s="84"/>
      <c r="B204" s="84"/>
      <c r="C204" s="84"/>
      <c r="E204" s="84"/>
      <c r="G204" s="84"/>
    </row>
    <row r="205" ht="15.75" customHeight="1">
      <c r="A205" s="84"/>
      <c r="B205" s="84"/>
      <c r="C205" s="84"/>
      <c r="E205" s="84"/>
      <c r="G205" s="84"/>
    </row>
    <row r="206" ht="15.75" customHeight="1">
      <c r="A206" s="84"/>
      <c r="B206" s="84"/>
      <c r="C206" s="84"/>
      <c r="E206" s="84"/>
      <c r="G206" s="84"/>
    </row>
    <row r="207" ht="15.75" customHeight="1">
      <c r="A207" s="84"/>
      <c r="B207" s="84"/>
      <c r="C207" s="84"/>
      <c r="E207" s="84"/>
      <c r="G207" s="84"/>
    </row>
    <row r="208" ht="15.75" customHeight="1">
      <c r="A208" s="84"/>
      <c r="B208" s="84"/>
      <c r="C208" s="84"/>
      <c r="E208" s="84"/>
      <c r="G208" s="84"/>
    </row>
    <row r="209" ht="15.75" customHeight="1">
      <c r="A209" s="84"/>
      <c r="B209" s="84"/>
      <c r="C209" s="84"/>
      <c r="E209" s="84"/>
      <c r="G209" s="84"/>
    </row>
    <row r="210" ht="15.75" customHeight="1">
      <c r="A210" s="84"/>
      <c r="B210" s="84"/>
      <c r="C210" s="84"/>
      <c r="E210" s="84"/>
      <c r="G210" s="84"/>
    </row>
    <row r="211" ht="15.75" customHeight="1">
      <c r="A211" s="84"/>
      <c r="B211" s="84"/>
      <c r="C211" s="84"/>
      <c r="E211" s="84"/>
      <c r="G211" s="84"/>
    </row>
    <row r="212" ht="15.75" customHeight="1">
      <c r="A212" s="84"/>
      <c r="B212" s="84"/>
      <c r="C212" s="84"/>
      <c r="E212" s="84"/>
      <c r="G212" s="84"/>
    </row>
    <row r="213" ht="15.75" customHeight="1">
      <c r="A213" s="84"/>
      <c r="B213" s="84"/>
      <c r="C213" s="84"/>
      <c r="E213" s="84"/>
      <c r="G213" s="84"/>
    </row>
    <row r="214" ht="15.75" customHeight="1">
      <c r="A214" s="84"/>
      <c r="B214" s="84"/>
      <c r="C214" s="84"/>
      <c r="E214" s="84"/>
      <c r="G214" s="84"/>
    </row>
    <row r="215" ht="15.75" customHeight="1">
      <c r="A215" s="84"/>
      <c r="B215" s="84"/>
      <c r="C215" s="84"/>
      <c r="E215" s="84"/>
      <c r="G215" s="84"/>
    </row>
    <row r="216" ht="15.75" customHeight="1">
      <c r="A216" s="84"/>
      <c r="B216" s="84"/>
      <c r="C216" s="84"/>
      <c r="E216" s="84"/>
      <c r="G216" s="84"/>
    </row>
    <row r="217" ht="15.75" customHeight="1">
      <c r="A217" s="84"/>
      <c r="B217" s="84"/>
      <c r="C217" s="84"/>
      <c r="E217" s="84"/>
      <c r="G217" s="84"/>
    </row>
    <row r="218" ht="15.75" customHeight="1">
      <c r="A218" s="84"/>
      <c r="B218" s="84"/>
      <c r="C218" s="84"/>
      <c r="E218" s="84"/>
      <c r="G218" s="84"/>
    </row>
    <row r="219" ht="15.75" customHeight="1">
      <c r="A219" s="84"/>
      <c r="B219" s="84"/>
      <c r="C219" s="84"/>
      <c r="E219" s="84"/>
      <c r="G219" s="84"/>
    </row>
    <row r="220" ht="15.75" customHeight="1">
      <c r="A220" s="84"/>
      <c r="B220" s="84"/>
      <c r="C220" s="84"/>
      <c r="E220" s="84"/>
      <c r="G220" s="84"/>
    </row>
    <row r="221" ht="15.75" customHeight="1">
      <c r="A221" s="84"/>
      <c r="B221" s="84"/>
      <c r="C221" s="84"/>
      <c r="E221" s="84"/>
      <c r="G221" s="84"/>
    </row>
    <row r="222" ht="15.75" customHeight="1">
      <c r="A222" s="84"/>
      <c r="B222" s="84"/>
      <c r="C222" s="84"/>
      <c r="E222" s="84"/>
      <c r="G222" s="84"/>
    </row>
    <row r="223" ht="15.75" customHeight="1">
      <c r="A223" s="84"/>
      <c r="B223" s="84"/>
      <c r="C223" s="84"/>
      <c r="E223" s="84"/>
      <c r="G223" s="84"/>
    </row>
    <row r="224" ht="15.75" customHeight="1">
      <c r="A224" s="84"/>
      <c r="B224" s="84"/>
      <c r="C224" s="84"/>
      <c r="E224" s="84"/>
      <c r="G224" s="84"/>
    </row>
    <row r="225" ht="15.75" customHeight="1">
      <c r="A225" s="84"/>
      <c r="B225" s="84"/>
      <c r="C225" s="84"/>
      <c r="E225" s="84"/>
      <c r="G225" s="84"/>
    </row>
    <row r="226" ht="15.75" customHeight="1">
      <c r="A226" s="84"/>
      <c r="B226" s="84"/>
      <c r="C226" s="84"/>
      <c r="E226" s="84"/>
      <c r="G226" s="84"/>
    </row>
    <row r="227" ht="15.75" customHeight="1">
      <c r="A227" s="84"/>
      <c r="B227" s="84"/>
      <c r="C227" s="84"/>
      <c r="E227" s="84"/>
      <c r="G227" s="84"/>
    </row>
    <row r="228" ht="15.75" customHeight="1">
      <c r="A228" s="84"/>
      <c r="B228" s="84"/>
      <c r="C228" s="84"/>
      <c r="E228" s="84"/>
      <c r="G228" s="84"/>
    </row>
    <row r="229" ht="15.75" customHeight="1">
      <c r="A229" s="84"/>
      <c r="B229" s="84"/>
      <c r="C229" s="84"/>
      <c r="E229" s="84"/>
      <c r="G229" s="84"/>
    </row>
    <row r="230" ht="15.75" customHeight="1">
      <c r="A230" s="84"/>
      <c r="B230" s="84"/>
      <c r="C230" s="84"/>
      <c r="E230" s="84"/>
      <c r="G230" s="84"/>
    </row>
    <row r="231" ht="15.75" customHeight="1">
      <c r="A231" s="84"/>
      <c r="B231" s="84"/>
      <c r="C231" s="84"/>
      <c r="E231" s="84"/>
      <c r="G231" s="84"/>
    </row>
    <row r="232" ht="15.75" customHeight="1">
      <c r="A232" s="84"/>
      <c r="B232" s="84"/>
      <c r="C232" s="84"/>
      <c r="E232" s="84"/>
      <c r="G232" s="84"/>
    </row>
    <row r="233" ht="15.75" customHeight="1">
      <c r="A233" s="84"/>
      <c r="B233" s="84"/>
      <c r="C233" s="84"/>
      <c r="E233" s="84"/>
      <c r="G233" s="84"/>
    </row>
    <row r="234" ht="15.75" customHeight="1">
      <c r="A234" s="84"/>
      <c r="B234" s="84"/>
      <c r="C234" s="84"/>
      <c r="E234" s="84"/>
      <c r="G234" s="84"/>
    </row>
    <row r="235" ht="15.75" customHeight="1">
      <c r="A235" s="84"/>
      <c r="B235" s="84"/>
      <c r="C235" s="84"/>
      <c r="E235" s="84"/>
      <c r="G235" s="84"/>
    </row>
    <row r="236" ht="15.75" customHeight="1">
      <c r="A236" s="84"/>
      <c r="B236" s="84"/>
      <c r="C236" s="84"/>
      <c r="E236" s="84"/>
      <c r="G236" s="84"/>
    </row>
    <row r="237" ht="15.75" customHeight="1">
      <c r="A237" s="84"/>
      <c r="B237" s="84"/>
      <c r="C237" s="84"/>
      <c r="E237" s="84"/>
      <c r="G237" s="84"/>
    </row>
    <row r="238" ht="15.75" customHeight="1">
      <c r="A238" s="84"/>
      <c r="B238" s="84"/>
      <c r="C238" s="84"/>
      <c r="E238" s="84"/>
      <c r="G238" s="84"/>
    </row>
    <row r="239" ht="15.75" customHeight="1">
      <c r="A239" s="84"/>
      <c r="B239" s="84"/>
      <c r="C239" s="84"/>
      <c r="E239" s="84"/>
      <c r="G239" s="84"/>
    </row>
    <row r="240" ht="15.75" customHeight="1">
      <c r="A240" s="84"/>
      <c r="B240" s="84"/>
      <c r="C240" s="84"/>
      <c r="E240" s="84"/>
      <c r="G240" s="84"/>
    </row>
    <row r="241" ht="15.75" customHeight="1">
      <c r="A241" s="84"/>
      <c r="B241" s="84"/>
      <c r="C241" s="84"/>
      <c r="E241" s="84"/>
      <c r="G241" s="84"/>
    </row>
    <row r="242" ht="15.75" customHeight="1">
      <c r="A242" s="84"/>
      <c r="B242" s="84"/>
      <c r="C242" s="84"/>
      <c r="E242" s="84"/>
      <c r="G242" s="84"/>
    </row>
    <row r="243" ht="15.75" customHeight="1">
      <c r="A243" s="84"/>
      <c r="B243" s="84"/>
      <c r="C243" s="84"/>
      <c r="E243" s="84"/>
      <c r="G243" s="84"/>
    </row>
    <row r="244" ht="15.75" customHeight="1">
      <c r="A244" s="84"/>
      <c r="B244" s="84"/>
      <c r="C244" s="84"/>
      <c r="E244" s="84"/>
      <c r="G244" s="84"/>
    </row>
    <row r="245" ht="15.75" customHeight="1">
      <c r="A245" s="84"/>
      <c r="B245" s="84"/>
      <c r="C245" s="84"/>
      <c r="E245" s="84"/>
      <c r="G245" s="84"/>
    </row>
    <row r="246" ht="15.75" customHeight="1">
      <c r="A246" s="84"/>
      <c r="B246" s="84"/>
      <c r="C246" s="84"/>
      <c r="E246" s="84"/>
      <c r="G246" s="84"/>
    </row>
    <row r="247" ht="15.75" customHeight="1">
      <c r="A247" s="84"/>
      <c r="B247" s="84"/>
      <c r="C247" s="84"/>
      <c r="E247" s="84"/>
      <c r="G247" s="84"/>
    </row>
    <row r="248" ht="15.75" customHeight="1">
      <c r="A248" s="84"/>
      <c r="B248" s="84"/>
      <c r="C248" s="84"/>
      <c r="E248" s="84"/>
      <c r="G248" s="84"/>
    </row>
    <row r="249" ht="15.75" customHeight="1">
      <c r="A249" s="84"/>
      <c r="B249" s="84"/>
      <c r="C249" s="84"/>
      <c r="E249" s="84"/>
      <c r="G249" s="84"/>
    </row>
    <row r="250" ht="15.75" customHeight="1">
      <c r="A250" s="84"/>
      <c r="B250" s="84"/>
      <c r="C250" s="84"/>
      <c r="E250" s="84"/>
      <c r="G250" s="84"/>
    </row>
    <row r="251" ht="15.75" customHeight="1">
      <c r="A251" s="84"/>
      <c r="B251" s="84"/>
      <c r="C251" s="84"/>
      <c r="E251" s="84"/>
      <c r="G251" s="84"/>
    </row>
    <row r="252" ht="15.75" customHeight="1">
      <c r="A252" s="84"/>
      <c r="B252" s="84"/>
      <c r="C252" s="84"/>
      <c r="E252" s="84"/>
      <c r="G252" s="84"/>
    </row>
    <row r="253" ht="15.75" customHeight="1">
      <c r="A253" s="84"/>
      <c r="B253" s="84"/>
      <c r="C253" s="84"/>
      <c r="E253" s="84"/>
      <c r="G253" s="84"/>
    </row>
    <row r="254" ht="15.75" customHeight="1">
      <c r="A254" s="84"/>
      <c r="B254" s="84"/>
      <c r="C254" s="84"/>
      <c r="E254" s="84"/>
      <c r="G254" s="84"/>
    </row>
    <row r="255" ht="15.75" customHeight="1">
      <c r="A255" s="84"/>
      <c r="B255" s="84"/>
      <c r="C255" s="84"/>
      <c r="E255" s="84"/>
      <c r="G255" s="84"/>
    </row>
    <row r="256" ht="15.75" customHeight="1">
      <c r="A256" s="84"/>
      <c r="B256" s="84"/>
      <c r="C256" s="84"/>
      <c r="E256" s="84"/>
      <c r="G256" s="84"/>
    </row>
    <row r="257" ht="15.75" customHeight="1">
      <c r="A257" s="84"/>
      <c r="B257" s="84"/>
      <c r="C257" s="84"/>
      <c r="E257" s="84"/>
      <c r="G257" s="84"/>
    </row>
    <row r="258" ht="15.75" customHeight="1">
      <c r="A258" s="84"/>
      <c r="B258" s="84"/>
      <c r="C258" s="84"/>
      <c r="E258" s="84"/>
      <c r="G258" s="84"/>
    </row>
    <row r="259" ht="15.75" customHeight="1">
      <c r="A259" s="84"/>
      <c r="B259" s="84"/>
      <c r="C259" s="84"/>
      <c r="E259" s="84"/>
      <c r="G259" s="84"/>
    </row>
    <row r="260" ht="15.75" customHeight="1">
      <c r="A260" s="84"/>
      <c r="B260" s="84"/>
      <c r="C260" s="84"/>
      <c r="E260" s="84"/>
      <c r="G260" s="84"/>
    </row>
    <row r="261" ht="15.75" customHeight="1">
      <c r="A261" s="84"/>
      <c r="B261" s="84"/>
      <c r="C261" s="84"/>
      <c r="E261" s="84"/>
      <c r="G261" s="84"/>
    </row>
    <row r="262" ht="15.75" customHeight="1">
      <c r="A262" s="84"/>
      <c r="B262" s="84"/>
      <c r="C262" s="84"/>
      <c r="E262" s="84"/>
      <c r="G262" s="84"/>
    </row>
    <row r="263" ht="15.75" customHeight="1">
      <c r="A263" s="84"/>
      <c r="B263" s="84"/>
      <c r="C263" s="84"/>
      <c r="E263" s="84"/>
      <c r="G263" s="84"/>
    </row>
    <row r="264" ht="15.75" customHeight="1">
      <c r="A264" s="84"/>
      <c r="B264" s="84"/>
      <c r="C264" s="84"/>
      <c r="E264" s="84"/>
      <c r="G264" s="84"/>
    </row>
    <row r="265" ht="15.75" customHeight="1">
      <c r="A265" s="84"/>
      <c r="B265" s="84"/>
      <c r="C265" s="84"/>
      <c r="E265" s="84"/>
      <c r="G265" s="84"/>
    </row>
    <row r="266" ht="15.75" customHeight="1">
      <c r="A266" s="84"/>
      <c r="B266" s="84"/>
      <c r="C266" s="84"/>
      <c r="E266" s="84"/>
      <c r="G266" s="84"/>
    </row>
    <row r="267" ht="15.75" customHeight="1">
      <c r="A267" s="84"/>
      <c r="B267" s="84"/>
      <c r="C267" s="84"/>
      <c r="E267" s="84"/>
      <c r="G267" s="84"/>
    </row>
    <row r="268" ht="15.75" customHeight="1">
      <c r="A268" s="84"/>
      <c r="B268" s="84"/>
      <c r="C268" s="84"/>
      <c r="E268" s="84"/>
      <c r="G268" s="84"/>
    </row>
    <row r="269" ht="15.75" customHeight="1">
      <c r="A269" s="84"/>
      <c r="B269" s="84"/>
      <c r="C269" s="84"/>
      <c r="E269" s="84"/>
      <c r="G269" s="84"/>
    </row>
    <row r="270" ht="15.75" customHeight="1">
      <c r="A270" s="84"/>
      <c r="B270" s="84"/>
      <c r="C270" s="84"/>
      <c r="E270" s="84"/>
      <c r="G270" s="84"/>
    </row>
    <row r="271" ht="15.75" customHeight="1">
      <c r="A271" s="84"/>
      <c r="B271" s="84"/>
      <c r="C271" s="84"/>
      <c r="E271" s="84"/>
      <c r="G271" s="84"/>
    </row>
    <row r="272" ht="15.75" customHeight="1">
      <c r="A272" s="84"/>
      <c r="B272" s="84"/>
      <c r="C272" s="84"/>
      <c r="E272" s="84"/>
      <c r="G272" s="84"/>
    </row>
    <row r="273" ht="15.75" customHeight="1">
      <c r="A273" s="84"/>
      <c r="B273" s="84"/>
      <c r="C273" s="84"/>
      <c r="E273" s="84"/>
      <c r="G273" s="84"/>
    </row>
    <row r="274" ht="15.75" customHeight="1">
      <c r="A274" s="84"/>
      <c r="B274" s="84"/>
      <c r="C274" s="84"/>
      <c r="E274" s="84"/>
      <c r="G274" s="84"/>
    </row>
    <row r="275" ht="15.75" customHeight="1">
      <c r="A275" s="84"/>
      <c r="B275" s="84"/>
      <c r="C275" s="84"/>
      <c r="E275" s="84"/>
      <c r="G275" s="84"/>
    </row>
    <row r="276" ht="15.75" customHeight="1">
      <c r="A276" s="84"/>
      <c r="B276" s="84"/>
      <c r="C276" s="84"/>
      <c r="E276" s="84"/>
      <c r="G276" s="84"/>
    </row>
    <row r="277" ht="15.75" customHeight="1">
      <c r="A277" s="84"/>
      <c r="B277" s="84"/>
      <c r="C277" s="84"/>
      <c r="E277" s="84"/>
      <c r="G277" s="84"/>
    </row>
    <row r="278" ht="15.75" customHeight="1">
      <c r="A278" s="84"/>
      <c r="B278" s="84"/>
      <c r="C278" s="84"/>
      <c r="E278" s="84"/>
      <c r="G278" s="84"/>
    </row>
    <row r="279" ht="15.75" customHeight="1">
      <c r="A279" s="84"/>
      <c r="B279" s="84"/>
      <c r="C279" s="84"/>
      <c r="E279" s="84"/>
      <c r="G279" s="84"/>
    </row>
    <row r="280" ht="15.75" customHeight="1">
      <c r="A280" s="84"/>
      <c r="B280" s="84"/>
      <c r="C280" s="84"/>
      <c r="E280" s="84"/>
      <c r="G280" s="84"/>
    </row>
    <row r="281" ht="15.75" customHeight="1">
      <c r="A281" s="84"/>
      <c r="B281" s="84"/>
      <c r="C281" s="84"/>
      <c r="E281" s="84"/>
      <c r="G281" s="84"/>
    </row>
    <row r="282" ht="15.75" customHeight="1">
      <c r="A282" s="84"/>
      <c r="B282" s="84"/>
      <c r="C282" s="84"/>
      <c r="E282" s="84"/>
      <c r="G282" s="84"/>
    </row>
    <row r="283" ht="15.75" customHeight="1">
      <c r="A283" s="84"/>
      <c r="B283" s="84"/>
      <c r="C283" s="84"/>
      <c r="E283" s="84"/>
      <c r="G283" s="84"/>
    </row>
    <row r="284" ht="15.75" customHeight="1">
      <c r="A284" s="84"/>
      <c r="B284" s="84"/>
      <c r="C284" s="84"/>
      <c r="E284" s="84"/>
      <c r="G284" s="84"/>
    </row>
    <row r="285" ht="15.75" customHeight="1">
      <c r="A285" s="84"/>
      <c r="B285" s="84"/>
      <c r="C285" s="84"/>
      <c r="E285" s="84"/>
      <c r="G285" s="84"/>
    </row>
    <row r="286" ht="15.75" customHeight="1">
      <c r="A286" s="84"/>
      <c r="B286" s="84"/>
      <c r="C286" s="84"/>
      <c r="E286" s="84"/>
      <c r="G286" s="84"/>
    </row>
    <row r="287" ht="15.75" customHeight="1">
      <c r="A287" s="84"/>
      <c r="B287" s="84"/>
      <c r="C287" s="84"/>
      <c r="E287" s="84"/>
      <c r="G287" s="84"/>
    </row>
    <row r="288" ht="15.75" customHeight="1">
      <c r="A288" s="84"/>
      <c r="B288" s="84"/>
      <c r="C288" s="84"/>
      <c r="E288" s="84"/>
      <c r="G288" s="84"/>
    </row>
    <row r="289" ht="15.75" customHeight="1">
      <c r="A289" s="84"/>
      <c r="B289" s="84"/>
      <c r="C289" s="84"/>
      <c r="E289" s="84"/>
      <c r="G289" s="84"/>
    </row>
    <row r="290" ht="15.75" customHeight="1">
      <c r="A290" s="84"/>
      <c r="B290" s="84"/>
      <c r="C290" s="84"/>
      <c r="E290" s="84"/>
      <c r="G290" s="84"/>
    </row>
    <row r="291" ht="15.75" customHeight="1">
      <c r="A291" s="84"/>
      <c r="B291" s="84"/>
      <c r="C291" s="84"/>
      <c r="E291" s="84"/>
      <c r="G291" s="84"/>
    </row>
    <row r="292" ht="15.75" customHeight="1">
      <c r="A292" s="84"/>
      <c r="B292" s="84"/>
      <c r="C292" s="84"/>
      <c r="E292" s="84"/>
      <c r="G292" s="84"/>
    </row>
    <row r="293" ht="15.75" customHeight="1">
      <c r="A293" s="84"/>
      <c r="B293" s="84"/>
      <c r="C293" s="84"/>
      <c r="E293" s="84"/>
      <c r="G293" s="84"/>
    </row>
    <row r="294" ht="15.75" customHeight="1">
      <c r="A294" s="84"/>
      <c r="B294" s="84"/>
      <c r="C294" s="84"/>
      <c r="E294" s="84"/>
      <c r="G294" s="84"/>
    </row>
    <row r="295" ht="15.75" customHeight="1">
      <c r="A295" s="84"/>
      <c r="B295" s="84"/>
      <c r="C295" s="84"/>
      <c r="E295" s="84"/>
      <c r="G295" s="84"/>
    </row>
    <row r="296" ht="15.75" customHeight="1">
      <c r="A296" s="84"/>
      <c r="B296" s="84"/>
      <c r="C296" s="84"/>
      <c r="E296" s="84"/>
      <c r="G296" s="84"/>
    </row>
    <row r="297" ht="15.75" customHeight="1">
      <c r="A297" s="84"/>
      <c r="B297" s="84"/>
      <c r="C297" s="84"/>
      <c r="E297" s="84"/>
      <c r="G297" s="84"/>
    </row>
    <row r="298" ht="15.75" customHeight="1">
      <c r="A298" s="84"/>
      <c r="B298" s="84"/>
      <c r="C298" s="84"/>
      <c r="E298" s="84"/>
      <c r="G298" s="84"/>
    </row>
    <row r="299" ht="15.75" customHeight="1">
      <c r="A299" s="84"/>
      <c r="B299" s="84"/>
      <c r="C299" s="84"/>
      <c r="E299" s="84"/>
      <c r="G299" s="84"/>
    </row>
    <row r="300" ht="15.75" customHeight="1">
      <c r="A300" s="84"/>
      <c r="B300" s="84"/>
      <c r="C300" s="84"/>
      <c r="E300" s="84"/>
      <c r="G300" s="84"/>
    </row>
    <row r="301" ht="15.75" customHeight="1">
      <c r="A301" s="84"/>
      <c r="B301" s="84"/>
      <c r="C301" s="84"/>
      <c r="E301" s="84"/>
      <c r="G301" s="84"/>
    </row>
    <row r="302" ht="15.75" customHeight="1">
      <c r="A302" s="84"/>
      <c r="B302" s="84"/>
      <c r="C302" s="84"/>
      <c r="E302" s="84"/>
      <c r="G302" s="84"/>
    </row>
    <row r="303" ht="15.75" customHeight="1">
      <c r="A303" s="84"/>
      <c r="B303" s="84"/>
      <c r="C303" s="84"/>
      <c r="E303" s="84"/>
      <c r="G303" s="84"/>
    </row>
    <row r="304" ht="15.75" customHeight="1">
      <c r="A304" s="84"/>
      <c r="B304" s="84"/>
      <c r="C304" s="84"/>
      <c r="E304" s="84"/>
      <c r="G304" s="84"/>
    </row>
    <row r="305" ht="15.75" customHeight="1">
      <c r="A305" s="84"/>
      <c r="B305" s="84"/>
      <c r="C305" s="84"/>
      <c r="E305" s="84"/>
      <c r="G305" s="84"/>
    </row>
    <row r="306" ht="15.75" customHeight="1">
      <c r="A306" s="84"/>
      <c r="B306" s="84"/>
      <c r="C306" s="84"/>
      <c r="E306" s="84"/>
      <c r="G306" s="84"/>
    </row>
    <row r="307" ht="15.75" customHeight="1">
      <c r="A307" s="84"/>
      <c r="B307" s="84"/>
      <c r="C307" s="84"/>
      <c r="E307" s="84"/>
      <c r="G307" s="84"/>
    </row>
    <row r="308" ht="15.75" customHeight="1">
      <c r="A308" s="84"/>
      <c r="B308" s="84"/>
      <c r="C308" s="84"/>
      <c r="E308" s="84"/>
      <c r="G308" s="84"/>
    </row>
    <row r="309" ht="15.75" customHeight="1">
      <c r="A309" s="84"/>
      <c r="B309" s="84"/>
      <c r="C309" s="84"/>
      <c r="E309" s="84"/>
      <c r="G309" s="84"/>
    </row>
    <row r="310" ht="15.75" customHeight="1">
      <c r="A310" s="84"/>
      <c r="B310" s="84"/>
      <c r="C310" s="84"/>
      <c r="E310" s="84"/>
      <c r="G310" s="84"/>
    </row>
    <row r="311" ht="15.75" customHeight="1">
      <c r="A311" s="84"/>
      <c r="B311" s="84"/>
      <c r="C311" s="84"/>
      <c r="E311" s="84"/>
      <c r="G311" s="84"/>
    </row>
    <row r="312" ht="15.75" customHeight="1">
      <c r="A312" s="84"/>
      <c r="B312" s="84"/>
      <c r="C312" s="84"/>
      <c r="E312" s="84"/>
      <c r="G312" s="84"/>
    </row>
    <row r="313" ht="15.75" customHeight="1">
      <c r="A313" s="84"/>
      <c r="B313" s="84"/>
      <c r="C313" s="84"/>
      <c r="E313" s="84"/>
      <c r="G313" s="84"/>
    </row>
    <row r="314" ht="15.75" customHeight="1">
      <c r="A314" s="84"/>
      <c r="B314" s="84"/>
      <c r="C314" s="84"/>
      <c r="E314" s="84"/>
      <c r="G314" s="84"/>
    </row>
    <row r="315" ht="15.75" customHeight="1">
      <c r="A315" s="84"/>
      <c r="B315" s="84"/>
      <c r="C315" s="84"/>
      <c r="E315" s="84"/>
      <c r="G315" s="84"/>
    </row>
    <row r="316" ht="15.75" customHeight="1">
      <c r="A316" s="84"/>
      <c r="B316" s="84"/>
      <c r="C316" s="84"/>
      <c r="E316" s="84"/>
      <c r="G316" s="84"/>
    </row>
    <row r="317" ht="15.75" customHeight="1">
      <c r="A317" s="84"/>
      <c r="B317" s="84"/>
      <c r="C317" s="84"/>
      <c r="E317" s="84"/>
      <c r="G317" s="84"/>
    </row>
    <row r="318" ht="15.75" customHeight="1">
      <c r="A318" s="84"/>
      <c r="B318" s="84"/>
      <c r="C318" s="84"/>
      <c r="E318" s="84"/>
      <c r="G318" s="84"/>
    </row>
    <row r="319" ht="15.75" customHeight="1">
      <c r="A319" s="84"/>
      <c r="B319" s="84"/>
      <c r="C319" s="84"/>
      <c r="E319" s="84"/>
      <c r="G319" s="84"/>
    </row>
    <row r="320" ht="15.75" customHeight="1">
      <c r="A320" s="84"/>
      <c r="B320" s="84"/>
      <c r="C320" s="84"/>
      <c r="E320" s="84"/>
      <c r="G320" s="84"/>
    </row>
    <row r="321" ht="15.75" customHeight="1">
      <c r="A321" s="84"/>
      <c r="B321" s="84"/>
      <c r="C321" s="84"/>
      <c r="E321" s="84"/>
      <c r="G321" s="84"/>
    </row>
    <row r="322" ht="15.75" customHeight="1">
      <c r="A322" s="84"/>
      <c r="B322" s="84"/>
      <c r="C322" s="84"/>
      <c r="E322" s="84"/>
      <c r="G322" s="84"/>
    </row>
    <row r="323" ht="15.75" customHeight="1">
      <c r="A323" s="84"/>
      <c r="B323" s="84"/>
      <c r="C323" s="84"/>
      <c r="E323" s="84"/>
      <c r="G323" s="84"/>
    </row>
    <row r="324" ht="15.75" customHeight="1">
      <c r="A324" s="84"/>
      <c r="B324" s="84"/>
      <c r="C324" s="84"/>
      <c r="E324" s="84"/>
      <c r="G324" s="84"/>
    </row>
    <row r="325" ht="15.75" customHeight="1">
      <c r="A325" s="84"/>
      <c r="B325" s="84"/>
      <c r="C325" s="84"/>
      <c r="E325" s="84"/>
      <c r="G325" s="84"/>
    </row>
    <row r="326" ht="15.75" customHeight="1">
      <c r="A326" s="84"/>
      <c r="B326" s="84"/>
      <c r="C326" s="84"/>
      <c r="E326" s="84"/>
      <c r="G326" s="84"/>
    </row>
    <row r="327" ht="15.75" customHeight="1">
      <c r="A327" s="84"/>
      <c r="B327" s="84"/>
      <c r="C327" s="84"/>
      <c r="E327" s="84"/>
      <c r="G327" s="84"/>
    </row>
    <row r="328" ht="15.75" customHeight="1">
      <c r="A328" s="84"/>
      <c r="B328" s="84"/>
      <c r="C328" s="84"/>
      <c r="E328" s="84"/>
      <c r="G328" s="84"/>
    </row>
    <row r="329" ht="15.75" customHeight="1">
      <c r="A329" s="84"/>
      <c r="B329" s="84"/>
      <c r="C329" s="84"/>
      <c r="E329" s="84"/>
      <c r="G329" s="84"/>
    </row>
    <row r="330" ht="15.75" customHeight="1">
      <c r="A330" s="84"/>
      <c r="B330" s="84"/>
      <c r="C330" s="84"/>
      <c r="E330" s="84"/>
      <c r="G330" s="84"/>
    </row>
    <row r="331" ht="15.75" customHeight="1">
      <c r="A331" s="84"/>
      <c r="B331" s="84"/>
      <c r="C331" s="84"/>
      <c r="E331" s="84"/>
      <c r="G331" s="84"/>
    </row>
    <row r="332" ht="15.75" customHeight="1">
      <c r="A332" s="84"/>
      <c r="B332" s="84"/>
      <c r="C332" s="84"/>
      <c r="E332" s="84"/>
      <c r="G332" s="84"/>
    </row>
    <row r="333" ht="15.75" customHeight="1">
      <c r="A333" s="84"/>
      <c r="B333" s="84"/>
      <c r="C333" s="84"/>
      <c r="E333" s="84"/>
      <c r="G333" s="84"/>
    </row>
    <row r="334" ht="15.75" customHeight="1">
      <c r="A334" s="84"/>
      <c r="B334" s="84"/>
      <c r="C334" s="84"/>
      <c r="E334" s="84"/>
      <c r="G334" s="84"/>
    </row>
    <row r="335" ht="15.75" customHeight="1">
      <c r="A335" s="84"/>
      <c r="B335" s="84"/>
      <c r="C335" s="84"/>
      <c r="E335" s="84"/>
      <c r="G335" s="84"/>
    </row>
    <row r="336" ht="15.75" customHeight="1">
      <c r="A336" s="84"/>
      <c r="B336" s="84"/>
      <c r="C336" s="84"/>
      <c r="E336" s="84"/>
      <c r="G336" s="84"/>
    </row>
    <row r="337" ht="15.75" customHeight="1">
      <c r="A337" s="84"/>
      <c r="B337" s="84"/>
      <c r="C337" s="84"/>
      <c r="E337" s="84"/>
      <c r="G337" s="84"/>
    </row>
    <row r="338" ht="15.75" customHeight="1">
      <c r="A338" s="84"/>
      <c r="B338" s="84"/>
      <c r="C338" s="84"/>
      <c r="E338" s="84"/>
      <c r="G338" s="84"/>
    </row>
    <row r="339" ht="15.75" customHeight="1">
      <c r="A339" s="84"/>
      <c r="B339" s="84"/>
      <c r="C339" s="84"/>
      <c r="E339" s="84"/>
      <c r="G339" s="84"/>
    </row>
    <row r="340" ht="15.75" customHeight="1">
      <c r="A340" s="84"/>
      <c r="B340" s="84"/>
      <c r="C340" s="84"/>
      <c r="E340" s="84"/>
      <c r="G340" s="84"/>
    </row>
    <row r="341" ht="15.75" customHeight="1">
      <c r="A341" s="84"/>
      <c r="B341" s="84"/>
      <c r="C341" s="84"/>
      <c r="E341" s="84"/>
      <c r="G341" s="84"/>
    </row>
    <row r="342" ht="15.75" customHeight="1">
      <c r="A342" s="84"/>
      <c r="B342" s="84"/>
      <c r="C342" s="84"/>
      <c r="E342" s="84"/>
      <c r="G342" s="84"/>
    </row>
    <row r="343" ht="15.75" customHeight="1">
      <c r="A343" s="84"/>
      <c r="B343" s="84"/>
      <c r="C343" s="84"/>
      <c r="E343" s="84"/>
      <c r="G343" s="84"/>
    </row>
    <row r="344" ht="15.75" customHeight="1">
      <c r="A344" s="84"/>
      <c r="B344" s="84"/>
      <c r="C344" s="84"/>
      <c r="E344" s="84"/>
      <c r="G344" s="84"/>
    </row>
    <row r="345" ht="15.75" customHeight="1">
      <c r="A345" s="84"/>
      <c r="B345" s="84"/>
      <c r="C345" s="84"/>
      <c r="E345" s="84"/>
      <c r="G345" s="84"/>
    </row>
    <row r="346" ht="15.75" customHeight="1">
      <c r="A346" s="84"/>
      <c r="B346" s="84"/>
      <c r="C346" s="84"/>
      <c r="E346" s="84"/>
      <c r="G346" s="84"/>
    </row>
    <row r="347" ht="15.75" customHeight="1">
      <c r="A347" s="84"/>
      <c r="B347" s="84"/>
      <c r="C347" s="84"/>
      <c r="E347" s="84"/>
      <c r="G347" s="84"/>
    </row>
    <row r="348" ht="15.75" customHeight="1">
      <c r="A348" s="84"/>
      <c r="B348" s="84"/>
      <c r="C348" s="84"/>
      <c r="E348" s="84"/>
      <c r="G348" s="84"/>
    </row>
    <row r="349" ht="15.75" customHeight="1">
      <c r="A349" s="84"/>
      <c r="B349" s="84"/>
      <c r="C349" s="84"/>
      <c r="E349" s="84"/>
      <c r="G349" s="84"/>
    </row>
    <row r="350" ht="15.75" customHeight="1">
      <c r="A350" s="84"/>
      <c r="B350" s="84"/>
      <c r="C350" s="84"/>
      <c r="E350" s="84"/>
      <c r="G350" s="84"/>
    </row>
    <row r="351" ht="15.75" customHeight="1">
      <c r="A351" s="84"/>
      <c r="B351" s="84"/>
      <c r="C351" s="84"/>
      <c r="E351" s="84"/>
      <c r="G351" s="84"/>
    </row>
    <row r="352" ht="15.75" customHeight="1">
      <c r="A352" s="84"/>
      <c r="B352" s="84"/>
      <c r="C352" s="84"/>
      <c r="E352" s="84"/>
      <c r="G352" s="84"/>
    </row>
    <row r="353" ht="15.75" customHeight="1">
      <c r="A353" s="84"/>
      <c r="B353" s="84"/>
      <c r="C353" s="84"/>
      <c r="E353" s="84"/>
      <c r="G353" s="84"/>
    </row>
    <row r="354" ht="15.75" customHeight="1">
      <c r="A354" s="84"/>
      <c r="B354" s="84"/>
      <c r="C354" s="84"/>
      <c r="E354" s="84"/>
      <c r="G354" s="84"/>
    </row>
    <row r="355" ht="15.75" customHeight="1">
      <c r="A355" s="84"/>
      <c r="B355" s="84"/>
      <c r="C355" s="84"/>
      <c r="E355" s="84"/>
      <c r="G355" s="84"/>
    </row>
    <row r="356" ht="15.75" customHeight="1">
      <c r="A356" s="84"/>
      <c r="B356" s="84"/>
      <c r="C356" s="84"/>
      <c r="E356" s="84"/>
      <c r="G356" s="84"/>
    </row>
    <row r="357" ht="15.75" customHeight="1">
      <c r="A357" s="84"/>
      <c r="B357" s="84"/>
      <c r="C357" s="84"/>
      <c r="E357" s="84"/>
      <c r="G357" s="84"/>
    </row>
    <row r="358" ht="15.75" customHeight="1">
      <c r="A358" s="84"/>
      <c r="B358" s="84"/>
      <c r="C358" s="84"/>
      <c r="E358" s="84"/>
      <c r="G358" s="84"/>
    </row>
    <row r="359" ht="15.75" customHeight="1">
      <c r="A359" s="84"/>
      <c r="B359" s="84"/>
      <c r="C359" s="84"/>
      <c r="E359" s="84"/>
      <c r="G359" s="84"/>
    </row>
    <row r="360" ht="15.75" customHeight="1">
      <c r="A360" s="84"/>
      <c r="B360" s="84"/>
      <c r="C360" s="84"/>
      <c r="E360" s="84"/>
      <c r="G360" s="84"/>
    </row>
    <row r="361" ht="15.75" customHeight="1">
      <c r="A361" s="84"/>
      <c r="B361" s="84"/>
      <c r="C361" s="84"/>
      <c r="E361" s="84"/>
      <c r="G361" s="84"/>
    </row>
    <row r="362" ht="15.75" customHeight="1">
      <c r="A362" s="84"/>
      <c r="B362" s="84"/>
      <c r="C362" s="84"/>
      <c r="E362" s="84"/>
      <c r="G362" s="84"/>
    </row>
    <row r="363" ht="15.75" customHeight="1">
      <c r="A363" s="84"/>
      <c r="B363" s="84"/>
      <c r="C363" s="84"/>
      <c r="E363" s="84"/>
      <c r="G363" s="84"/>
    </row>
    <row r="364" ht="15.75" customHeight="1">
      <c r="A364" s="84"/>
      <c r="B364" s="84"/>
      <c r="C364" s="84"/>
      <c r="E364" s="84"/>
      <c r="G364" s="84"/>
    </row>
    <row r="365" ht="15.75" customHeight="1">
      <c r="A365" s="84"/>
      <c r="B365" s="84"/>
      <c r="C365" s="84"/>
      <c r="E365" s="84"/>
      <c r="G365" s="84"/>
    </row>
    <row r="366" ht="15.75" customHeight="1">
      <c r="A366" s="84"/>
      <c r="B366" s="84"/>
      <c r="C366" s="84"/>
      <c r="E366" s="84"/>
      <c r="G366" s="84"/>
    </row>
    <row r="367" ht="15.75" customHeight="1">
      <c r="A367" s="84"/>
      <c r="B367" s="84"/>
      <c r="C367" s="84"/>
      <c r="E367" s="84"/>
      <c r="G367" s="84"/>
    </row>
    <row r="368" ht="15.75" customHeight="1">
      <c r="A368" s="84"/>
      <c r="B368" s="84"/>
      <c r="C368" s="84"/>
      <c r="E368" s="84"/>
      <c r="G368" s="84"/>
    </row>
    <row r="369" ht="15.75" customHeight="1">
      <c r="A369" s="84"/>
      <c r="B369" s="84"/>
      <c r="C369" s="84"/>
      <c r="E369" s="84"/>
      <c r="G369" s="84"/>
    </row>
    <row r="370" ht="15.75" customHeight="1">
      <c r="A370" s="84"/>
      <c r="B370" s="84"/>
      <c r="C370" s="84"/>
      <c r="E370" s="84"/>
      <c r="G370" s="84"/>
    </row>
    <row r="371" ht="15.75" customHeight="1">
      <c r="A371" s="84"/>
      <c r="B371" s="84"/>
      <c r="C371" s="84"/>
      <c r="E371" s="84"/>
      <c r="G371" s="84"/>
    </row>
    <row r="372" ht="15.75" customHeight="1">
      <c r="A372" s="84"/>
      <c r="B372" s="84"/>
      <c r="C372" s="84"/>
      <c r="E372" s="84"/>
      <c r="G372" s="84"/>
    </row>
    <row r="373" ht="15.75" customHeight="1">
      <c r="A373" s="84"/>
      <c r="B373" s="84"/>
      <c r="C373" s="84"/>
      <c r="E373" s="84"/>
      <c r="G373" s="84"/>
    </row>
    <row r="374" ht="15.75" customHeight="1">
      <c r="A374" s="84"/>
      <c r="B374" s="84"/>
      <c r="C374" s="84"/>
      <c r="E374" s="84"/>
      <c r="G374" s="84"/>
    </row>
    <row r="375" ht="15.75" customHeight="1">
      <c r="A375" s="84"/>
      <c r="B375" s="84"/>
      <c r="C375" s="84"/>
      <c r="E375" s="84"/>
      <c r="G375" s="84"/>
    </row>
    <row r="376" ht="15.75" customHeight="1">
      <c r="A376" s="84"/>
      <c r="B376" s="84"/>
      <c r="C376" s="84"/>
      <c r="E376" s="84"/>
      <c r="G376" s="84"/>
    </row>
    <row r="377" ht="15.75" customHeight="1">
      <c r="A377" s="84"/>
      <c r="B377" s="84"/>
      <c r="C377" s="84"/>
      <c r="E377" s="84"/>
      <c r="G377" s="84"/>
    </row>
    <row r="378" ht="15.75" customHeight="1">
      <c r="A378" s="84"/>
      <c r="B378" s="84"/>
      <c r="C378" s="84"/>
      <c r="E378" s="84"/>
      <c r="G378" s="84"/>
    </row>
    <row r="379" ht="15.75" customHeight="1">
      <c r="A379" s="84"/>
      <c r="B379" s="84"/>
      <c r="C379" s="84"/>
      <c r="E379" s="84"/>
      <c r="G379" s="84"/>
    </row>
    <row r="380" ht="15.75" customHeight="1">
      <c r="A380" s="84"/>
      <c r="B380" s="84"/>
      <c r="C380" s="84"/>
      <c r="E380" s="84"/>
      <c r="G380" s="84"/>
    </row>
    <row r="381" ht="15.75" customHeight="1">
      <c r="A381" s="84"/>
      <c r="B381" s="84"/>
      <c r="C381" s="84"/>
      <c r="E381" s="84"/>
      <c r="G381" s="84"/>
    </row>
    <row r="382" ht="15.75" customHeight="1">
      <c r="A382" s="84"/>
      <c r="B382" s="84"/>
      <c r="C382" s="84"/>
      <c r="E382" s="84"/>
      <c r="G382" s="84"/>
    </row>
    <row r="383" ht="15.75" customHeight="1">
      <c r="A383" s="84"/>
      <c r="B383" s="84"/>
      <c r="C383" s="84"/>
      <c r="E383" s="84"/>
      <c r="G383" s="84"/>
    </row>
    <row r="384" ht="15.75" customHeight="1">
      <c r="A384" s="84"/>
      <c r="B384" s="84"/>
      <c r="C384" s="84"/>
      <c r="E384" s="84"/>
      <c r="G384" s="84"/>
    </row>
    <row r="385" ht="15.75" customHeight="1">
      <c r="A385" s="84"/>
      <c r="B385" s="84"/>
      <c r="C385" s="84"/>
      <c r="E385" s="84"/>
      <c r="G385" s="84"/>
    </row>
    <row r="386" ht="15.75" customHeight="1">
      <c r="A386" s="84"/>
      <c r="B386" s="84"/>
      <c r="C386" s="84"/>
      <c r="E386" s="84"/>
      <c r="G386" s="84"/>
    </row>
    <row r="387" ht="15.75" customHeight="1">
      <c r="A387" s="84"/>
      <c r="B387" s="84"/>
      <c r="C387" s="84"/>
      <c r="E387" s="84"/>
      <c r="G387" s="84"/>
    </row>
    <row r="388" ht="15.75" customHeight="1">
      <c r="A388" s="84"/>
      <c r="B388" s="84"/>
      <c r="C388" s="84"/>
      <c r="E388" s="84"/>
      <c r="G388" s="84"/>
    </row>
    <row r="389" ht="15.75" customHeight="1">
      <c r="A389" s="84"/>
      <c r="B389" s="84"/>
      <c r="C389" s="84"/>
      <c r="E389" s="84"/>
      <c r="G389" s="84"/>
    </row>
    <row r="390" ht="15.75" customHeight="1">
      <c r="A390" s="84"/>
      <c r="B390" s="84"/>
      <c r="C390" s="84"/>
      <c r="E390" s="84"/>
      <c r="G390" s="84"/>
    </row>
    <row r="391" ht="15.75" customHeight="1">
      <c r="A391" s="84"/>
      <c r="B391" s="84"/>
      <c r="C391" s="84"/>
      <c r="E391" s="84"/>
      <c r="G391" s="84"/>
    </row>
    <row r="392" ht="15.75" customHeight="1">
      <c r="A392" s="84"/>
      <c r="B392" s="84"/>
      <c r="C392" s="84"/>
      <c r="E392" s="84"/>
      <c r="G392" s="84"/>
    </row>
    <row r="393" ht="15.75" customHeight="1">
      <c r="A393" s="84"/>
      <c r="B393" s="84"/>
      <c r="C393" s="84"/>
      <c r="E393" s="84"/>
      <c r="G393" s="84"/>
    </row>
    <row r="394" ht="15.75" customHeight="1">
      <c r="A394" s="84"/>
      <c r="B394" s="84"/>
      <c r="C394" s="84"/>
      <c r="E394" s="84"/>
      <c r="G394" s="84"/>
    </row>
    <row r="395" ht="15.75" customHeight="1">
      <c r="A395" s="84"/>
      <c r="B395" s="84"/>
      <c r="C395" s="84"/>
      <c r="E395" s="84"/>
      <c r="G395" s="84"/>
    </row>
    <row r="396" ht="15.75" customHeight="1">
      <c r="A396" s="84"/>
      <c r="B396" s="84"/>
      <c r="C396" s="84"/>
      <c r="E396" s="84"/>
      <c r="G396" s="84"/>
    </row>
    <row r="397" ht="15.75" customHeight="1">
      <c r="A397" s="84"/>
      <c r="B397" s="84"/>
      <c r="C397" s="84"/>
      <c r="E397" s="84"/>
      <c r="G397" s="84"/>
    </row>
    <row r="398" ht="15.75" customHeight="1">
      <c r="A398" s="84"/>
      <c r="B398" s="84"/>
      <c r="C398" s="84"/>
      <c r="E398" s="84"/>
      <c r="G398" s="84"/>
    </row>
    <row r="399" ht="15.75" customHeight="1">
      <c r="A399" s="84"/>
      <c r="B399" s="84"/>
      <c r="C399" s="84"/>
      <c r="E399" s="84"/>
      <c r="G399" s="84"/>
    </row>
    <row r="400" ht="15.75" customHeight="1">
      <c r="A400" s="84"/>
      <c r="B400" s="84"/>
      <c r="C400" s="84"/>
      <c r="E400" s="84"/>
      <c r="G400" s="84"/>
    </row>
    <row r="401" ht="15.75" customHeight="1">
      <c r="A401" s="84"/>
      <c r="B401" s="84"/>
      <c r="C401" s="84"/>
      <c r="E401" s="84"/>
      <c r="G401" s="84"/>
    </row>
    <row r="402" ht="15.75" customHeight="1">
      <c r="A402" s="84"/>
      <c r="B402" s="84"/>
      <c r="C402" s="84"/>
      <c r="E402" s="84"/>
      <c r="G402" s="84"/>
    </row>
    <row r="403" ht="15.75" customHeight="1">
      <c r="A403" s="84"/>
      <c r="B403" s="84"/>
      <c r="C403" s="84"/>
      <c r="E403" s="84"/>
      <c r="G403" s="84"/>
    </row>
    <row r="404" ht="15.75" customHeight="1">
      <c r="A404" s="84"/>
      <c r="B404" s="84"/>
      <c r="C404" s="84"/>
      <c r="E404" s="84"/>
      <c r="G404" s="84"/>
    </row>
    <row r="405" ht="15.75" customHeight="1">
      <c r="A405" s="84"/>
      <c r="B405" s="84"/>
      <c r="C405" s="84"/>
      <c r="E405" s="84"/>
      <c r="G405" s="84"/>
    </row>
    <row r="406" ht="15.75" customHeight="1">
      <c r="A406" s="84"/>
      <c r="B406" s="84"/>
      <c r="C406" s="84"/>
      <c r="E406" s="84"/>
      <c r="G406" s="84"/>
    </row>
    <row r="407" ht="15.75" customHeight="1">
      <c r="A407" s="84"/>
      <c r="B407" s="84"/>
      <c r="C407" s="84"/>
      <c r="E407" s="84"/>
      <c r="G407" s="84"/>
    </row>
    <row r="408" ht="15.75" customHeight="1">
      <c r="A408" s="84"/>
      <c r="B408" s="84"/>
      <c r="C408" s="84"/>
      <c r="E408" s="84"/>
      <c r="G408" s="84"/>
    </row>
    <row r="409" ht="15.75" customHeight="1">
      <c r="A409" s="84"/>
      <c r="B409" s="84"/>
      <c r="C409" s="84"/>
      <c r="E409" s="84"/>
      <c r="G409" s="84"/>
    </row>
    <row r="410" ht="15.75" customHeight="1">
      <c r="A410" s="84"/>
      <c r="B410" s="84"/>
      <c r="C410" s="84"/>
      <c r="E410" s="84"/>
      <c r="G410" s="84"/>
    </row>
    <row r="411" ht="15.75" customHeight="1">
      <c r="A411" s="84"/>
      <c r="B411" s="84"/>
      <c r="C411" s="84"/>
      <c r="E411" s="84"/>
      <c r="G411" s="84"/>
    </row>
    <row r="412" ht="15.75" customHeight="1">
      <c r="A412" s="84"/>
      <c r="B412" s="84"/>
      <c r="C412" s="84"/>
      <c r="E412" s="84"/>
      <c r="G412" s="84"/>
    </row>
    <row r="413" ht="15.75" customHeight="1">
      <c r="A413" s="84"/>
      <c r="B413" s="84"/>
      <c r="C413" s="84"/>
      <c r="E413" s="84"/>
      <c r="G413" s="84"/>
    </row>
    <row r="414" ht="15.75" customHeight="1">
      <c r="A414" s="84"/>
      <c r="B414" s="84"/>
      <c r="C414" s="84"/>
      <c r="E414" s="84"/>
      <c r="G414" s="84"/>
    </row>
    <row r="415" ht="15.75" customHeight="1">
      <c r="A415" s="84"/>
      <c r="B415" s="84"/>
      <c r="C415" s="84"/>
      <c r="E415" s="84"/>
      <c r="G415" s="84"/>
    </row>
    <row r="416" ht="15.75" customHeight="1">
      <c r="A416" s="84"/>
      <c r="B416" s="84"/>
      <c r="C416" s="84"/>
      <c r="E416" s="84"/>
      <c r="G416" s="84"/>
    </row>
    <row r="417" ht="15.75" customHeight="1">
      <c r="A417" s="84"/>
      <c r="B417" s="84"/>
      <c r="C417" s="84"/>
      <c r="E417" s="84"/>
      <c r="G417" s="84"/>
    </row>
    <row r="418" ht="15.75" customHeight="1">
      <c r="A418" s="84"/>
      <c r="B418" s="84"/>
      <c r="C418" s="84"/>
      <c r="E418" s="84"/>
      <c r="G418" s="84"/>
    </row>
    <row r="419" ht="15.75" customHeight="1">
      <c r="A419" s="84"/>
      <c r="B419" s="84"/>
      <c r="C419" s="84"/>
      <c r="E419" s="84"/>
      <c r="G419" s="84"/>
    </row>
    <row r="420" ht="15.75" customHeight="1">
      <c r="A420" s="84"/>
      <c r="B420" s="84"/>
      <c r="C420" s="84"/>
      <c r="E420" s="84"/>
      <c r="G420" s="84"/>
    </row>
    <row r="421" ht="15.75" customHeight="1">
      <c r="A421" s="84"/>
      <c r="B421" s="84"/>
      <c r="C421" s="84"/>
      <c r="E421" s="84"/>
      <c r="G421" s="84"/>
    </row>
    <row r="422" ht="15.75" customHeight="1">
      <c r="A422" s="84"/>
      <c r="B422" s="84"/>
      <c r="C422" s="84"/>
      <c r="E422" s="84"/>
      <c r="G422" s="84"/>
    </row>
    <row r="423" ht="15.75" customHeight="1">
      <c r="A423" s="84"/>
      <c r="B423" s="84"/>
      <c r="C423" s="84"/>
      <c r="E423" s="84"/>
      <c r="G423" s="84"/>
    </row>
    <row r="424" ht="15.75" customHeight="1">
      <c r="A424" s="84"/>
      <c r="B424" s="84"/>
      <c r="C424" s="84"/>
      <c r="E424" s="84"/>
      <c r="G424" s="84"/>
    </row>
    <row r="425" ht="15.75" customHeight="1">
      <c r="A425" s="84"/>
      <c r="B425" s="84"/>
      <c r="C425" s="84"/>
      <c r="E425" s="84"/>
      <c r="G425" s="84"/>
    </row>
    <row r="426" ht="15.75" customHeight="1">
      <c r="A426" s="84"/>
      <c r="B426" s="84"/>
      <c r="C426" s="84"/>
      <c r="E426" s="84"/>
      <c r="G426" s="84"/>
    </row>
    <row r="427" ht="15.75" customHeight="1">
      <c r="A427" s="84"/>
      <c r="B427" s="84"/>
      <c r="C427" s="84"/>
      <c r="E427" s="84"/>
      <c r="G427" s="84"/>
    </row>
    <row r="428" ht="15.75" customHeight="1">
      <c r="A428" s="84"/>
      <c r="B428" s="84"/>
      <c r="C428" s="84"/>
      <c r="E428" s="84"/>
      <c r="G428" s="84"/>
    </row>
    <row r="429" ht="15.75" customHeight="1">
      <c r="A429" s="84"/>
      <c r="B429" s="84"/>
      <c r="C429" s="84"/>
      <c r="E429" s="84"/>
      <c r="G429" s="84"/>
    </row>
    <row r="430" ht="15.75" customHeight="1">
      <c r="A430" s="84"/>
      <c r="B430" s="84"/>
      <c r="C430" s="84"/>
      <c r="E430" s="84"/>
      <c r="G430" s="84"/>
    </row>
    <row r="431" ht="15.75" customHeight="1">
      <c r="A431" s="84"/>
      <c r="B431" s="84"/>
      <c r="C431" s="84"/>
      <c r="E431" s="84"/>
      <c r="G431" s="84"/>
    </row>
    <row r="432" ht="15.75" customHeight="1">
      <c r="A432" s="84"/>
      <c r="B432" s="84"/>
      <c r="C432" s="84"/>
      <c r="E432" s="84"/>
      <c r="G432" s="84"/>
    </row>
    <row r="433" ht="15.75" customHeight="1">
      <c r="A433" s="84"/>
      <c r="B433" s="84"/>
      <c r="C433" s="84"/>
      <c r="E433" s="84"/>
      <c r="G433" s="84"/>
    </row>
    <row r="434" ht="15.75" customHeight="1">
      <c r="A434" s="84"/>
      <c r="B434" s="84"/>
      <c r="C434" s="84"/>
      <c r="E434" s="84"/>
      <c r="G434" s="84"/>
    </row>
    <row r="435" ht="15.75" customHeight="1">
      <c r="A435" s="84"/>
      <c r="B435" s="84"/>
      <c r="C435" s="84"/>
      <c r="E435" s="84"/>
      <c r="G435" s="84"/>
    </row>
    <row r="436" ht="15.75" customHeight="1">
      <c r="A436" s="84"/>
      <c r="B436" s="84"/>
      <c r="C436" s="84"/>
      <c r="E436" s="84"/>
      <c r="G436" s="84"/>
    </row>
    <row r="437" ht="15.75" customHeight="1">
      <c r="A437" s="84"/>
      <c r="B437" s="84"/>
      <c r="C437" s="84"/>
      <c r="E437" s="84"/>
      <c r="G437" s="84"/>
    </row>
    <row r="438" ht="15.75" customHeight="1">
      <c r="A438" s="84"/>
      <c r="B438" s="84"/>
      <c r="C438" s="84"/>
      <c r="E438" s="84"/>
      <c r="G438" s="84"/>
    </row>
    <row r="439" ht="15.75" customHeight="1">
      <c r="A439" s="84"/>
      <c r="B439" s="84"/>
      <c r="C439" s="84"/>
      <c r="E439" s="84"/>
      <c r="G439" s="84"/>
    </row>
    <row r="440" ht="15.75" customHeight="1">
      <c r="A440" s="84"/>
      <c r="B440" s="84"/>
      <c r="C440" s="84"/>
      <c r="E440" s="84"/>
      <c r="G440" s="84"/>
    </row>
    <row r="441" ht="15.75" customHeight="1">
      <c r="A441" s="84"/>
      <c r="B441" s="84"/>
      <c r="C441" s="84"/>
      <c r="E441" s="84"/>
      <c r="G441" s="84"/>
    </row>
    <row r="442" ht="15.75" customHeight="1">
      <c r="A442" s="84"/>
      <c r="B442" s="84"/>
      <c r="C442" s="84"/>
      <c r="E442" s="84"/>
      <c r="G442" s="84"/>
    </row>
    <row r="443" ht="15.75" customHeight="1">
      <c r="A443" s="84"/>
      <c r="B443" s="84"/>
      <c r="C443" s="84"/>
      <c r="E443" s="84"/>
      <c r="G443" s="84"/>
    </row>
    <row r="444" ht="15.75" customHeight="1">
      <c r="A444" s="84"/>
      <c r="B444" s="84"/>
      <c r="C444" s="84"/>
      <c r="E444" s="84"/>
      <c r="G444" s="84"/>
    </row>
    <row r="445" ht="15.75" customHeight="1">
      <c r="A445" s="84"/>
      <c r="B445" s="84"/>
      <c r="C445" s="84"/>
      <c r="E445" s="84"/>
      <c r="G445" s="84"/>
    </row>
    <row r="446" ht="15.75" customHeight="1">
      <c r="A446" s="84"/>
      <c r="B446" s="84"/>
      <c r="C446" s="84"/>
      <c r="E446" s="84"/>
      <c r="G446" s="84"/>
    </row>
    <row r="447" ht="15.75" customHeight="1">
      <c r="A447" s="84"/>
      <c r="B447" s="84"/>
      <c r="C447" s="84"/>
      <c r="E447" s="84"/>
      <c r="G447" s="84"/>
    </row>
    <row r="448" ht="15.75" customHeight="1">
      <c r="A448" s="84"/>
      <c r="B448" s="84"/>
      <c r="C448" s="84"/>
      <c r="E448" s="84"/>
      <c r="G448" s="84"/>
    </row>
    <row r="449" ht="15.75" customHeight="1">
      <c r="A449" s="84"/>
      <c r="B449" s="84"/>
      <c r="C449" s="84"/>
      <c r="E449" s="84"/>
      <c r="G449" s="84"/>
    </row>
    <row r="450" ht="15.75" customHeight="1">
      <c r="A450" s="84"/>
      <c r="B450" s="84"/>
      <c r="C450" s="84"/>
      <c r="E450" s="84"/>
      <c r="G450" s="84"/>
    </row>
    <row r="451" ht="15.75" customHeight="1">
      <c r="A451" s="84"/>
      <c r="B451" s="84"/>
      <c r="C451" s="84"/>
      <c r="E451" s="84"/>
      <c r="G451" s="84"/>
    </row>
    <row r="452" ht="15.75" customHeight="1">
      <c r="A452" s="84"/>
      <c r="B452" s="84"/>
      <c r="C452" s="84"/>
      <c r="E452" s="84"/>
      <c r="G452" s="84"/>
    </row>
    <row r="453" ht="15.75" customHeight="1">
      <c r="A453" s="84"/>
      <c r="B453" s="84"/>
      <c r="C453" s="84"/>
      <c r="E453" s="84"/>
      <c r="G453" s="84"/>
    </row>
    <row r="454" ht="15.75" customHeight="1">
      <c r="A454" s="84"/>
      <c r="B454" s="84"/>
      <c r="C454" s="84"/>
      <c r="E454" s="84"/>
      <c r="G454" s="84"/>
    </row>
    <row r="455" ht="15.75" customHeight="1">
      <c r="A455" s="84"/>
      <c r="B455" s="84"/>
      <c r="C455" s="84"/>
      <c r="E455" s="84"/>
      <c r="G455" s="84"/>
    </row>
    <row r="456" ht="15.75" customHeight="1">
      <c r="A456" s="84"/>
      <c r="B456" s="84"/>
      <c r="C456" s="84"/>
      <c r="E456" s="84"/>
      <c r="G456" s="84"/>
    </row>
    <row r="457" ht="15.75" customHeight="1">
      <c r="A457" s="84"/>
      <c r="B457" s="84"/>
      <c r="C457" s="84"/>
      <c r="E457" s="84"/>
      <c r="G457" s="84"/>
    </row>
    <row r="458" ht="15.75" customHeight="1">
      <c r="A458" s="84"/>
      <c r="B458" s="84"/>
      <c r="C458" s="84"/>
      <c r="E458" s="84"/>
      <c r="G458" s="84"/>
    </row>
    <row r="459" ht="15.75" customHeight="1">
      <c r="A459" s="84"/>
      <c r="B459" s="84"/>
      <c r="C459" s="84"/>
      <c r="E459" s="84"/>
      <c r="G459" s="84"/>
    </row>
    <row r="460" ht="15.75" customHeight="1">
      <c r="A460" s="84"/>
      <c r="B460" s="84"/>
      <c r="C460" s="84"/>
      <c r="E460" s="84"/>
      <c r="G460" s="84"/>
    </row>
    <row r="461" ht="15.75" customHeight="1">
      <c r="A461" s="84"/>
      <c r="B461" s="84"/>
      <c r="C461" s="84"/>
      <c r="E461" s="84"/>
      <c r="G461" s="84"/>
    </row>
    <row r="462" ht="15.75" customHeight="1">
      <c r="A462" s="84"/>
      <c r="B462" s="84"/>
      <c r="C462" s="84"/>
      <c r="E462" s="84"/>
      <c r="G462" s="84"/>
    </row>
    <row r="463" ht="15.75" customHeight="1">
      <c r="A463" s="84"/>
      <c r="B463" s="84"/>
      <c r="C463" s="84"/>
      <c r="E463" s="84"/>
      <c r="G463" s="84"/>
    </row>
    <row r="464" ht="15.75" customHeight="1">
      <c r="A464" s="84"/>
      <c r="B464" s="84"/>
      <c r="C464" s="84"/>
      <c r="E464" s="84"/>
      <c r="G464" s="84"/>
    </row>
    <row r="465" ht="15.75" customHeight="1">
      <c r="A465" s="84"/>
      <c r="B465" s="84"/>
      <c r="C465" s="84"/>
      <c r="E465" s="84"/>
      <c r="G465" s="84"/>
    </row>
    <row r="466" ht="15.75" customHeight="1">
      <c r="A466" s="84"/>
      <c r="B466" s="84"/>
      <c r="C466" s="84"/>
      <c r="E466" s="84"/>
      <c r="G466" s="84"/>
    </row>
    <row r="467" ht="15.75" customHeight="1">
      <c r="A467" s="84"/>
      <c r="B467" s="84"/>
      <c r="C467" s="84"/>
      <c r="E467" s="84"/>
      <c r="G467" s="84"/>
    </row>
    <row r="468" ht="15.75" customHeight="1">
      <c r="A468" s="84"/>
      <c r="B468" s="84"/>
      <c r="C468" s="84"/>
      <c r="E468" s="84"/>
      <c r="G468" s="84"/>
    </row>
    <row r="469" ht="15.75" customHeight="1">
      <c r="A469" s="84"/>
      <c r="B469" s="84"/>
      <c r="C469" s="84"/>
      <c r="E469" s="84"/>
      <c r="G469" s="84"/>
    </row>
    <row r="470" ht="15.75" customHeight="1">
      <c r="A470" s="84"/>
      <c r="B470" s="84"/>
      <c r="C470" s="84"/>
      <c r="E470" s="84"/>
      <c r="G470" s="84"/>
    </row>
    <row r="471" ht="15.75" customHeight="1">
      <c r="A471" s="84"/>
      <c r="B471" s="84"/>
      <c r="C471" s="84"/>
      <c r="E471" s="84"/>
      <c r="G471" s="84"/>
    </row>
    <row r="472" ht="15.75" customHeight="1">
      <c r="A472" s="84"/>
      <c r="B472" s="84"/>
      <c r="C472" s="84"/>
      <c r="E472" s="84"/>
      <c r="G472" s="84"/>
    </row>
    <row r="473" ht="15.75" customHeight="1">
      <c r="A473" s="84"/>
      <c r="B473" s="84"/>
      <c r="C473" s="84"/>
      <c r="E473" s="84"/>
      <c r="G473" s="84"/>
    </row>
    <row r="474" ht="15.75" customHeight="1">
      <c r="A474" s="84"/>
      <c r="B474" s="84"/>
      <c r="C474" s="84"/>
      <c r="E474" s="84"/>
      <c r="G474" s="84"/>
    </row>
    <row r="475" ht="15.75" customHeight="1">
      <c r="A475" s="84"/>
      <c r="B475" s="84"/>
      <c r="C475" s="84"/>
      <c r="E475" s="84"/>
      <c r="G475" s="84"/>
    </row>
    <row r="476" ht="15.75" customHeight="1">
      <c r="A476" s="84"/>
      <c r="B476" s="84"/>
      <c r="C476" s="84"/>
      <c r="E476" s="84"/>
      <c r="G476" s="84"/>
    </row>
    <row r="477" ht="15.75" customHeight="1">
      <c r="A477" s="84"/>
      <c r="B477" s="84"/>
      <c r="C477" s="84"/>
      <c r="E477" s="84"/>
      <c r="G477" s="84"/>
    </row>
    <row r="478" ht="15.75" customHeight="1">
      <c r="A478" s="84"/>
      <c r="B478" s="84"/>
      <c r="C478" s="84"/>
      <c r="E478" s="84"/>
      <c r="G478" s="84"/>
    </row>
    <row r="479" ht="15.75" customHeight="1">
      <c r="A479" s="84"/>
      <c r="B479" s="84"/>
      <c r="C479" s="84"/>
      <c r="E479" s="84"/>
      <c r="G479" s="84"/>
    </row>
    <row r="480" ht="15.75" customHeight="1">
      <c r="A480" s="84"/>
      <c r="B480" s="84"/>
      <c r="C480" s="84"/>
      <c r="E480" s="84"/>
      <c r="G480" s="84"/>
    </row>
    <row r="481" ht="15.75" customHeight="1">
      <c r="A481" s="84"/>
      <c r="B481" s="84"/>
      <c r="C481" s="84"/>
      <c r="E481" s="84"/>
      <c r="G481" s="84"/>
    </row>
    <row r="482" ht="15.75" customHeight="1">
      <c r="A482" s="84"/>
      <c r="B482" s="84"/>
      <c r="C482" s="84"/>
      <c r="E482" s="84"/>
      <c r="G482" s="84"/>
    </row>
    <row r="483" ht="15.75" customHeight="1">
      <c r="A483" s="84"/>
      <c r="B483" s="84"/>
      <c r="C483" s="84"/>
      <c r="E483" s="84"/>
      <c r="G483" s="84"/>
    </row>
    <row r="484" ht="15.75" customHeight="1">
      <c r="A484" s="84"/>
      <c r="B484" s="84"/>
      <c r="C484" s="84"/>
      <c r="E484" s="84"/>
      <c r="G484" s="84"/>
    </row>
    <row r="485" ht="15.75" customHeight="1">
      <c r="A485" s="84"/>
      <c r="B485" s="84"/>
      <c r="C485" s="84"/>
      <c r="E485" s="84"/>
      <c r="G485" s="84"/>
    </row>
    <row r="486" ht="15.75" customHeight="1">
      <c r="A486" s="84"/>
      <c r="B486" s="84"/>
      <c r="C486" s="84"/>
      <c r="E486" s="84"/>
      <c r="G486" s="84"/>
    </row>
    <row r="487" ht="15.75" customHeight="1">
      <c r="A487" s="84"/>
      <c r="B487" s="84"/>
      <c r="C487" s="84"/>
      <c r="E487" s="84"/>
      <c r="G487" s="84"/>
    </row>
    <row r="488" ht="15.75" customHeight="1">
      <c r="A488" s="84"/>
      <c r="B488" s="84"/>
      <c r="C488" s="84"/>
      <c r="E488" s="84"/>
      <c r="G488" s="84"/>
    </row>
    <row r="489" ht="15.75" customHeight="1">
      <c r="A489" s="84"/>
      <c r="B489" s="84"/>
      <c r="C489" s="84"/>
      <c r="E489" s="84"/>
      <c r="G489" s="84"/>
    </row>
    <row r="490" ht="15.75" customHeight="1">
      <c r="A490" s="84"/>
      <c r="B490" s="84"/>
      <c r="C490" s="84"/>
      <c r="E490" s="84"/>
      <c r="G490" s="84"/>
    </row>
    <row r="491" ht="15.75" customHeight="1">
      <c r="A491" s="84"/>
      <c r="B491" s="84"/>
      <c r="C491" s="84"/>
      <c r="E491" s="84"/>
      <c r="G491" s="84"/>
    </row>
    <row r="492" ht="15.75" customHeight="1">
      <c r="A492" s="84"/>
      <c r="B492" s="84"/>
      <c r="C492" s="84"/>
      <c r="E492" s="84"/>
      <c r="G492" s="84"/>
    </row>
    <row r="493" ht="15.75" customHeight="1">
      <c r="A493" s="84"/>
      <c r="B493" s="84"/>
      <c r="C493" s="84"/>
      <c r="E493" s="84"/>
      <c r="G493" s="84"/>
    </row>
    <row r="494" ht="15.75" customHeight="1">
      <c r="A494" s="84"/>
      <c r="B494" s="84"/>
      <c r="C494" s="84"/>
      <c r="E494" s="84"/>
      <c r="G494" s="84"/>
    </row>
    <row r="495" ht="15.75" customHeight="1">
      <c r="A495" s="84"/>
      <c r="B495" s="84"/>
      <c r="C495" s="84"/>
      <c r="E495" s="84"/>
      <c r="G495" s="84"/>
    </row>
    <row r="496" ht="15.75" customHeight="1">
      <c r="A496" s="84"/>
      <c r="B496" s="84"/>
      <c r="C496" s="84"/>
      <c r="E496" s="84"/>
      <c r="G496" s="84"/>
    </row>
    <row r="497" ht="15.75" customHeight="1">
      <c r="A497" s="84"/>
      <c r="B497" s="84"/>
      <c r="C497" s="84"/>
      <c r="E497" s="84"/>
      <c r="G497" s="84"/>
    </row>
    <row r="498" ht="15.75" customHeight="1">
      <c r="A498" s="84"/>
      <c r="B498" s="84"/>
      <c r="C498" s="84"/>
      <c r="E498" s="84"/>
      <c r="G498" s="84"/>
    </row>
    <row r="499" ht="15.75" customHeight="1">
      <c r="A499" s="84"/>
      <c r="B499" s="84"/>
      <c r="C499" s="84"/>
      <c r="E499" s="84"/>
      <c r="G499" s="84"/>
    </row>
    <row r="500" ht="15.75" customHeight="1">
      <c r="A500" s="84"/>
      <c r="B500" s="84"/>
      <c r="C500" s="84"/>
      <c r="E500" s="84"/>
      <c r="G500" s="84"/>
    </row>
    <row r="501" ht="15.75" customHeight="1">
      <c r="A501" s="84"/>
      <c r="B501" s="84"/>
      <c r="C501" s="84"/>
      <c r="E501" s="84"/>
      <c r="G501" s="84"/>
    </row>
    <row r="502" ht="15.75" customHeight="1">
      <c r="A502" s="84"/>
      <c r="B502" s="84"/>
      <c r="C502" s="84"/>
      <c r="E502" s="84"/>
      <c r="G502" s="84"/>
    </row>
    <row r="503" ht="15.75" customHeight="1">
      <c r="A503" s="84"/>
      <c r="B503" s="84"/>
      <c r="C503" s="84"/>
      <c r="E503" s="84"/>
      <c r="G503" s="84"/>
    </row>
    <row r="504" ht="15.75" customHeight="1">
      <c r="A504" s="84"/>
      <c r="B504" s="84"/>
      <c r="C504" s="84"/>
      <c r="E504" s="84"/>
      <c r="G504" s="84"/>
    </row>
    <row r="505" ht="15.75" customHeight="1">
      <c r="A505" s="84"/>
      <c r="B505" s="84"/>
      <c r="C505" s="84"/>
      <c r="E505" s="84"/>
      <c r="G505" s="84"/>
    </row>
    <row r="506" ht="15.75" customHeight="1">
      <c r="A506" s="84"/>
      <c r="B506" s="84"/>
      <c r="C506" s="84"/>
      <c r="E506" s="84"/>
      <c r="G506" s="84"/>
    </row>
    <row r="507" ht="15.75" customHeight="1">
      <c r="A507" s="84"/>
      <c r="B507" s="84"/>
      <c r="C507" s="84"/>
      <c r="E507" s="84"/>
      <c r="G507" s="84"/>
    </row>
    <row r="508" ht="15.75" customHeight="1">
      <c r="A508" s="84"/>
      <c r="B508" s="84"/>
      <c r="C508" s="84"/>
      <c r="E508" s="84"/>
      <c r="G508" s="84"/>
    </row>
    <row r="509" ht="15.75" customHeight="1">
      <c r="A509" s="84"/>
      <c r="B509" s="84"/>
      <c r="C509" s="84"/>
      <c r="E509" s="84"/>
      <c r="G509" s="84"/>
    </row>
    <row r="510" ht="15.75" customHeight="1">
      <c r="A510" s="84"/>
      <c r="B510" s="84"/>
      <c r="C510" s="84"/>
      <c r="E510" s="84"/>
      <c r="G510" s="84"/>
    </row>
    <row r="511" ht="15.75" customHeight="1">
      <c r="A511" s="84"/>
      <c r="B511" s="84"/>
      <c r="C511" s="84"/>
      <c r="E511" s="84"/>
      <c r="G511" s="84"/>
    </row>
    <row r="512" ht="15.75" customHeight="1">
      <c r="A512" s="84"/>
      <c r="B512" s="84"/>
      <c r="C512" s="84"/>
      <c r="E512" s="84"/>
      <c r="G512" s="84"/>
    </row>
    <row r="513" ht="15.75" customHeight="1">
      <c r="A513" s="84"/>
      <c r="B513" s="84"/>
      <c r="C513" s="84"/>
      <c r="E513" s="84"/>
      <c r="G513" s="84"/>
    </row>
    <row r="514" ht="15.75" customHeight="1">
      <c r="A514" s="84"/>
      <c r="B514" s="84"/>
      <c r="C514" s="84"/>
      <c r="E514" s="84"/>
      <c r="G514" s="84"/>
    </row>
    <row r="515" ht="15.75" customHeight="1">
      <c r="A515" s="84"/>
      <c r="B515" s="84"/>
      <c r="C515" s="84"/>
      <c r="E515" s="84"/>
      <c r="G515" s="84"/>
    </row>
    <row r="516" ht="15.75" customHeight="1">
      <c r="A516" s="84"/>
      <c r="B516" s="84"/>
      <c r="C516" s="84"/>
      <c r="E516" s="84"/>
      <c r="G516" s="84"/>
    </row>
    <row r="517" ht="15.75" customHeight="1">
      <c r="A517" s="84"/>
      <c r="B517" s="84"/>
      <c r="C517" s="84"/>
      <c r="E517" s="84"/>
      <c r="G517" s="84"/>
    </row>
    <row r="518" ht="15.75" customHeight="1">
      <c r="A518" s="84"/>
      <c r="B518" s="84"/>
      <c r="C518" s="84"/>
      <c r="E518" s="84"/>
      <c r="G518" s="84"/>
    </row>
    <row r="519" ht="15.75" customHeight="1">
      <c r="A519" s="84"/>
      <c r="B519" s="84"/>
      <c r="C519" s="84"/>
      <c r="E519" s="84"/>
      <c r="G519" s="84"/>
    </row>
    <row r="520" ht="15.75" customHeight="1">
      <c r="A520" s="84"/>
      <c r="B520" s="84"/>
      <c r="C520" s="84"/>
      <c r="E520" s="84"/>
      <c r="G520" s="84"/>
    </row>
    <row r="521" ht="15.75" customHeight="1">
      <c r="A521" s="84"/>
      <c r="B521" s="84"/>
      <c r="C521" s="84"/>
      <c r="E521" s="84"/>
      <c r="G521" s="84"/>
    </row>
    <row r="522" ht="15.75" customHeight="1">
      <c r="A522" s="84"/>
      <c r="B522" s="84"/>
      <c r="C522" s="84"/>
      <c r="E522" s="84"/>
      <c r="G522" s="84"/>
    </row>
    <row r="523" ht="15.75" customHeight="1">
      <c r="A523" s="84"/>
      <c r="B523" s="84"/>
      <c r="C523" s="84"/>
      <c r="E523" s="84"/>
      <c r="G523" s="84"/>
    </row>
    <row r="524" ht="15.75" customHeight="1">
      <c r="A524" s="84"/>
      <c r="B524" s="84"/>
      <c r="C524" s="84"/>
      <c r="E524" s="84"/>
      <c r="G524" s="84"/>
    </row>
    <row r="525" ht="15.75" customHeight="1">
      <c r="A525" s="84"/>
      <c r="B525" s="84"/>
      <c r="C525" s="84"/>
      <c r="E525" s="84"/>
      <c r="G525" s="84"/>
    </row>
    <row r="526" ht="15.75" customHeight="1">
      <c r="A526" s="84"/>
      <c r="B526" s="84"/>
      <c r="C526" s="84"/>
      <c r="E526" s="84"/>
      <c r="G526" s="84"/>
    </row>
    <row r="527" ht="15.75" customHeight="1">
      <c r="A527" s="84"/>
      <c r="B527" s="84"/>
      <c r="C527" s="84"/>
      <c r="E527" s="84"/>
      <c r="G527" s="84"/>
    </row>
    <row r="528" ht="15.75" customHeight="1">
      <c r="A528" s="84"/>
      <c r="B528" s="84"/>
      <c r="C528" s="84"/>
      <c r="E528" s="84"/>
      <c r="G528" s="84"/>
    </row>
    <row r="529" ht="15.75" customHeight="1">
      <c r="A529" s="84"/>
      <c r="B529" s="84"/>
      <c r="C529" s="84"/>
      <c r="E529" s="84"/>
      <c r="G529" s="84"/>
    </row>
    <row r="530" ht="15.75" customHeight="1">
      <c r="A530" s="84"/>
      <c r="B530" s="84"/>
      <c r="C530" s="84"/>
      <c r="E530" s="84"/>
      <c r="G530" s="84"/>
    </row>
    <row r="531" ht="15.75" customHeight="1">
      <c r="A531" s="84"/>
      <c r="B531" s="84"/>
      <c r="C531" s="84"/>
      <c r="E531" s="84"/>
      <c r="G531" s="84"/>
    </row>
    <row r="532" ht="15.75" customHeight="1">
      <c r="A532" s="84"/>
      <c r="B532" s="84"/>
      <c r="C532" s="84"/>
      <c r="E532" s="84"/>
      <c r="G532" s="84"/>
    </row>
    <row r="533" ht="15.75" customHeight="1">
      <c r="A533" s="84"/>
      <c r="B533" s="84"/>
      <c r="C533" s="84"/>
      <c r="E533" s="84"/>
      <c r="G533" s="84"/>
    </row>
    <row r="534" ht="15.75" customHeight="1">
      <c r="A534" s="84"/>
      <c r="B534" s="84"/>
      <c r="C534" s="84"/>
      <c r="E534" s="84"/>
      <c r="G534" s="84"/>
    </row>
    <row r="535" ht="15.75" customHeight="1">
      <c r="A535" s="84"/>
      <c r="B535" s="84"/>
      <c r="C535" s="84"/>
      <c r="E535" s="84"/>
      <c r="G535" s="84"/>
    </row>
    <row r="536" ht="15.75" customHeight="1">
      <c r="A536" s="84"/>
      <c r="B536" s="84"/>
      <c r="C536" s="84"/>
      <c r="E536" s="84"/>
      <c r="G536" s="84"/>
    </row>
    <row r="537" ht="15.75" customHeight="1">
      <c r="A537" s="84"/>
      <c r="B537" s="84"/>
      <c r="C537" s="84"/>
      <c r="E537" s="84"/>
      <c r="G537" s="84"/>
    </row>
    <row r="538" ht="15.75" customHeight="1">
      <c r="A538" s="84"/>
      <c r="B538" s="84"/>
      <c r="C538" s="84"/>
      <c r="E538" s="84"/>
      <c r="G538" s="84"/>
    </row>
    <row r="539" ht="15.75" customHeight="1">
      <c r="A539" s="84"/>
      <c r="B539" s="84"/>
      <c r="C539" s="84"/>
      <c r="E539" s="84"/>
      <c r="G539" s="84"/>
    </row>
    <row r="540" ht="15.75" customHeight="1">
      <c r="A540" s="84"/>
      <c r="B540" s="84"/>
      <c r="C540" s="84"/>
      <c r="E540" s="84"/>
      <c r="G540" s="84"/>
    </row>
    <row r="541" ht="15.75" customHeight="1">
      <c r="A541" s="84"/>
      <c r="B541" s="84"/>
      <c r="C541" s="84"/>
      <c r="E541" s="84"/>
      <c r="G541" s="84"/>
    </row>
    <row r="542" ht="15.75" customHeight="1">
      <c r="A542" s="84"/>
      <c r="B542" s="84"/>
      <c r="C542" s="84"/>
      <c r="E542" s="84"/>
      <c r="G542" s="84"/>
    </row>
    <row r="543" ht="15.75" customHeight="1">
      <c r="A543" s="84"/>
      <c r="B543" s="84"/>
      <c r="C543" s="84"/>
      <c r="E543" s="84"/>
      <c r="G543" s="84"/>
    </row>
    <row r="544" ht="15.75" customHeight="1">
      <c r="A544" s="84"/>
      <c r="B544" s="84"/>
      <c r="C544" s="84"/>
      <c r="E544" s="84"/>
      <c r="G544" s="84"/>
    </row>
    <row r="545" ht="15.75" customHeight="1">
      <c r="A545" s="84"/>
      <c r="B545" s="84"/>
      <c r="C545" s="84"/>
      <c r="E545" s="84"/>
      <c r="G545" s="84"/>
    </row>
    <row r="546" ht="15.75" customHeight="1">
      <c r="A546" s="84"/>
      <c r="B546" s="84"/>
      <c r="C546" s="84"/>
      <c r="E546" s="84"/>
      <c r="G546" s="84"/>
    </row>
    <row r="547" ht="15.75" customHeight="1">
      <c r="A547" s="84"/>
      <c r="B547" s="84"/>
      <c r="C547" s="84"/>
      <c r="E547" s="84"/>
      <c r="G547" s="84"/>
    </row>
    <row r="548" ht="15.75" customHeight="1">
      <c r="A548" s="84"/>
      <c r="B548" s="84"/>
      <c r="C548" s="84"/>
      <c r="E548" s="84"/>
      <c r="G548" s="84"/>
    </row>
    <row r="549" ht="15.75" customHeight="1">
      <c r="A549" s="84"/>
      <c r="B549" s="84"/>
      <c r="C549" s="84"/>
      <c r="E549" s="84"/>
      <c r="G549" s="84"/>
    </row>
    <row r="550" ht="15.75" customHeight="1">
      <c r="A550" s="84"/>
      <c r="B550" s="84"/>
      <c r="C550" s="84"/>
      <c r="E550" s="84"/>
      <c r="G550" s="84"/>
    </row>
    <row r="551" ht="15.75" customHeight="1">
      <c r="A551" s="84"/>
      <c r="B551" s="84"/>
      <c r="C551" s="84"/>
      <c r="E551" s="84"/>
      <c r="G551" s="84"/>
    </row>
    <row r="552" ht="15.75" customHeight="1">
      <c r="A552" s="84"/>
      <c r="B552" s="84"/>
      <c r="C552" s="84"/>
      <c r="E552" s="84"/>
      <c r="G552" s="84"/>
    </row>
    <row r="553" ht="15.75" customHeight="1">
      <c r="A553" s="84"/>
      <c r="B553" s="84"/>
      <c r="C553" s="84"/>
      <c r="E553" s="84"/>
      <c r="G553" s="84"/>
    </row>
    <row r="554" ht="15.75" customHeight="1">
      <c r="A554" s="84"/>
      <c r="B554" s="84"/>
      <c r="C554" s="84"/>
      <c r="E554" s="84"/>
      <c r="G554" s="84"/>
    </row>
    <row r="555" ht="15.75" customHeight="1">
      <c r="A555" s="84"/>
      <c r="B555" s="84"/>
      <c r="C555" s="84"/>
      <c r="E555" s="84"/>
      <c r="G555" s="84"/>
    </row>
    <row r="556" ht="15.75" customHeight="1">
      <c r="A556" s="84"/>
      <c r="B556" s="84"/>
      <c r="C556" s="84"/>
      <c r="E556" s="84"/>
      <c r="G556" s="84"/>
    </row>
    <row r="557" ht="15.75" customHeight="1">
      <c r="A557" s="84"/>
      <c r="B557" s="84"/>
      <c r="C557" s="84"/>
      <c r="E557" s="84"/>
      <c r="G557" s="84"/>
    </row>
    <row r="558" ht="15.75" customHeight="1">
      <c r="A558" s="84"/>
      <c r="B558" s="84"/>
      <c r="C558" s="84"/>
      <c r="E558" s="84"/>
      <c r="G558" s="84"/>
    </row>
    <row r="559" ht="15.75" customHeight="1">
      <c r="A559" s="84"/>
      <c r="B559" s="84"/>
      <c r="C559" s="84"/>
      <c r="E559" s="84"/>
      <c r="G559" s="84"/>
    </row>
    <row r="560" ht="15.75" customHeight="1">
      <c r="A560" s="84"/>
      <c r="B560" s="84"/>
      <c r="C560" s="84"/>
      <c r="E560" s="84"/>
      <c r="G560" s="84"/>
    </row>
    <row r="561" ht="15.75" customHeight="1">
      <c r="A561" s="84"/>
      <c r="B561" s="84"/>
      <c r="C561" s="84"/>
      <c r="E561" s="84"/>
      <c r="G561" s="84"/>
    </row>
    <row r="562" ht="15.75" customHeight="1">
      <c r="A562" s="84"/>
      <c r="B562" s="84"/>
      <c r="C562" s="84"/>
      <c r="E562" s="84"/>
      <c r="G562" s="84"/>
    </row>
    <row r="563" ht="15.75" customHeight="1">
      <c r="A563" s="84"/>
      <c r="B563" s="84"/>
      <c r="C563" s="84"/>
      <c r="E563" s="84"/>
      <c r="G563" s="84"/>
    </row>
    <row r="564" ht="15.75" customHeight="1">
      <c r="A564" s="84"/>
      <c r="B564" s="84"/>
      <c r="C564" s="84"/>
      <c r="E564" s="84"/>
      <c r="G564" s="84"/>
    </row>
    <row r="565" ht="15.75" customHeight="1">
      <c r="A565" s="84"/>
      <c r="B565" s="84"/>
      <c r="C565" s="84"/>
      <c r="E565" s="84"/>
      <c r="G565" s="84"/>
    </row>
    <row r="566" ht="15.75" customHeight="1">
      <c r="A566" s="84"/>
      <c r="B566" s="84"/>
      <c r="C566" s="84"/>
      <c r="E566" s="84"/>
      <c r="G566" s="84"/>
    </row>
    <row r="567" ht="15.75" customHeight="1">
      <c r="A567" s="84"/>
      <c r="B567" s="84"/>
      <c r="C567" s="84"/>
      <c r="E567" s="84"/>
      <c r="G567" s="84"/>
    </row>
    <row r="568" ht="15.75" customHeight="1">
      <c r="A568" s="84"/>
      <c r="B568" s="84"/>
      <c r="C568" s="84"/>
      <c r="E568" s="84"/>
      <c r="G568" s="84"/>
    </row>
    <row r="569" ht="15.75" customHeight="1">
      <c r="A569" s="84"/>
      <c r="B569" s="84"/>
      <c r="C569" s="84"/>
      <c r="E569" s="84"/>
      <c r="G569" s="84"/>
    </row>
    <row r="570" ht="15.75" customHeight="1">
      <c r="A570" s="84"/>
      <c r="B570" s="84"/>
      <c r="C570" s="84"/>
      <c r="E570" s="84"/>
      <c r="G570" s="84"/>
    </row>
    <row r="571" ht="15.75" customHeight="1">
      <c r="A571" s="84"/>
      <c r="B571" s="84"/>
      <c r="C571" s="84"/>
      <c r="E571" s="84"/>
      <c r="G571" s="84"/>
    </row>
    <row r="572" ht="15.75" customHeight="1">
      <c r="A572" s="84"/>
      <c r="B572" s="84"/>
      <c r="C572" s="84"/>
      <c r="E572" s="84"/>
      <c r="G572" s="84"/>
    </row>
    <row r="573" ht="15.75" customHeight="1">
      <c r="A573" s="84"/>
      <c r="B573" s="84"/>
      <c r="C573" s="84"/>
      <c r="E573" s="84"/>
      <c r="G573" s="84"/>
    </row>
    <row r="574" ht="15.75" customHeight="1">
      <c r="A574" s="84"/>
      <c r="B574" s="84"/>
      <c r="C574" s="84"/>
      <c r="E574" s="84"/>
      <c r="G574" s="84"/>
    </row>
    <row r="575" ht="15.75" customHeight="1">
      <c r="A575" s="84"/>
      <c r="B575" s="84"/>
      <c r="C575" s="84"/>
      <c r="E575" s="84"/>
      <c r="G575" s="84"/>
    </row>
    <row r="576" ht="15.75" customHeight="1">
      <c r="A576" s="84"/>
      <c r="B576" s="84"/>
      <c r="C576" s="84"/>
      <c r="E576" s="84"/>
      <c r="G576" s="84"/>
    </row>
    <row r="577" ht="15.75" customHeight="1">
      <c r="A577" s="84"/>
      <c r="B577" s="84"/>
      <c r="C577" s="84"/>
      <c r="E577" s="84"/>
      <c r="G577" s="84"/>
    </row>
    <row r="578" ht="15.75" customHeight="1">
      <c r="A578" s="84"/>
      <c r="B578" s="84"/>
      <c r="C578" s="84"/>
      <c r="E578" s="84"/>
      <c r="G578" s="84"/>
    </row>
    <row r="579" ht="15.75" customHeight="1">
      <c r="A579" s="84"/>
      <c r="B579" s="84"/>
      <c r="C579" s="84"/>
      <c r="E579" s="84"/>
      <c r="G579" s="84"/>
    </row>
    <row r="580" ht="15.75" customHeight="1">
      <c r="A580" s="84"/>
      <c r="B580" s="84"/>
      <c r="C580" s="84"/>
      <c r="E580" s="84"/>
      <c r="G580" s="84"/>
    </row>
    <row r="581" ht="15.75" customHeight="1">
      <c r="A581" s="84"/>
      <c r="B581" s="84"/>
      <c r="C581" s="84"/>
      <c r="E581" s="84"/>
      <c r="G581" s="84"/>
    </row>
    <row r="582" ht="15.75" customHeight="1">
      <c r="A582" s="84"/>
      <c r="B582" s="84"/>
      <c r="C582" s="84"/>
      <c r="E582" s="84"/>
      <c r="G582" s="84"/>
    </row>
    <row r="583" ht="15.75" customHeight="1">
      <c r="A583" s="84"/>
      <c r="B583" s="84"/>
      <c r="C583" s="84"/>
      <c r="E583" s="84"/>
      <c r="G583" s="84"/>
    </row>
    <row r="584" ht="15.75" customHeight="1">
      <c r="A584" s="84"/>
      <c r="B584" s="84"/>
      <c r="C584" s="84"/>
      <c r="E584" s="84"/>
      <c r="G584" s="84"/>
    </row>
    <row r="585" ht="15.75" customHeight="1">
      <c r="A585" s="84"/>
      <c r="B585" s="84"/>
      <c r="C585" s="84"/>
      <c r="E585" s="84"/>
      <c r="G585" s="84"/>
    </row>
    <row r="586" ht="15.75" customHeight="1">
      <c r="A586" s="84"/>
      <c r="B586" s="84"/>
      <c r="C586" s="84"/>
      <c r="E586" s="84"/>
      <c r="G586" s="84"/>
    </row>
    <row r="587" ht="15.75" customHeight="1">
      <c r="A587" s="84"/>
      <c r="B587" s="84"/>
      <c r="C587" s="84"/>
      <c r="E587" s="84"/>
      <c r="G587" s="84"/>
    </row>
    <row r="588" ht="15.75" customHeight="1">
      <c r="A588" s="84"/>
      <c r="B588" s="84"/>
      <c r="C588" s="84"/>
      <c r="E588" s="84"/>
      <c r="G588" s="84"/>
    </row>
    <row r="589" ht="15.75" customHeight="1">
      <c r="A589" s="84"/>
      <c r="B589" s="84"/>
      <c r="C589" s="84"/>
      <c r="E589" s="84"/>
      <c r="G589" s="84"/>
    </row>
    <row r="590" ht="15.75" customHeight="1">
      <c r="A590" s="84"/>
      <c r="B590" s="84"/>
      <c r="C590" s="84"/>
      <c r="E590" s="84"/>
      <c r="G590" s="84"/>
    </row>
    <row r="591" ht="15.75" customHeight="1">
      <c r="A591" s="84"/>
      <c r="B591" s="84"/>
      <c r="C591" s="84"/>
      <c r="E591" s="84"/>
      <c r="G591" s="84"/>
    </row>
    <row r="592" ht="15.75" customHeight="1">
      <c r="A592" s="84"/>
      <c r="B592" s="84"/>
      <c r="C592" s="84"/>
      <c r="E592" s="84"/>
      <c r="G592" s="84"/>
    </row>
    <row r="593" ht="15.75" customHeight="1">
      <c r="A593" s="84"/>
      <c r="B593" s="84"/>
      <c r="C593" s="84"/>
      <c r="E593" s="84"/>
      <c r="G593" s="84"/>
    </row>
    <row r="594" ht="15.75" customHeight="1">
      <c r="A594" s="84"/>
      <c r="B594" s="84"/>
      <c r="C594" s="84"/>
      <c r="E594" s="84"/>
      <c r="G594" s="84"/>
    </row>
    <row r="595" ht="15.75" customHeight="1">
      <c r="A595" s="84"/>
      <c r="B595" s="84"/>
      <c r="C595" s="84"/>
      <c r="E595" s="84"/>
      <c r="G595" s="84"/>
    </row>
    <row r="596" ht="15.75" customHeight="1">
      <c r="A596" s="84"/>
      <c r="B596" s="84"/>
      <c r="C596" s="84"/>
      <c r="E596" s="84"/>
      <c r="G596" s="84"/>
    </row>
    <row r="597" ht="15.75" customHeight="1">
      <c r="A597" s="84"/>
      <c r="B597" s="84"/>
      <c r="C597" s="84"/>
      <c r="E597" s="84"/>
      <c r="G597" s="84"/>
    </row>
    <row r="598" ht="15.75" customHeight="1">
      <c r="A598" s="84"/>
      <c r="B598" s="84"/>
      <c r="C598" s="84"/>
      <c r="E598" s="84"/>
      <c r="G598" s="84"/>
    </row>
    <row r="599" ht="15.75" customHeight="1">
      <c r="A599" s="84"/>
      <c r="B599" s="84"/>
      <c r="C599" s="84"/>
      <c r="E599" s="84"/>
      <c r="G599" s="84"/>
    </row>
    <row r="600" ht="15.75" customHeight="1">
      <c r="A600" s="84"/>
      <c r="B600" s="84"/>
      <c r="C600" s="84"/>
      <c r="E600" s="84"/>
      <c r="G600" s="84"/>
    </row>
    <row r="601" ht="15.75" customHeight="1">
      <c r="A601" s="84"/>
      <c r="B601" s="84"/>
      <c r="C601" s="84"/>
      <c r="E601" s="84"/>
      <c r="G601" s="84"/>
    </row>
    <row r="602" ht="15.75" customHeight="1">
      <c r="A602" s="84"/>
      <c r="B602" s="84"/>
      <c r="C602" s="84"/>
      <c r="E602" s="84"/>
      <c r="G602" s="84"/>
    </row>
    <row r="603" ht="15.75" customHeight="1">
      <c r="A603" s="84"/>
      <c r="B603" s="84"/>
      <c r="C603" s="84"/>
      <c r="E603" s="84"/>
      <c r="G603" s="84"/>
    </row>
    <row r="604" ht="15.75" customHeight="1">
      <c r="A604" s="84"/>
      <c r="B604" s="84"/>
      <c r="C604" s="84"/>
      <c r="E604" s="84"/>
      <c r="G604" s="84"/>
    </row>
    <row r="605" ht="15.75" customHeight="1">
      <c r="A605" s="84"/>
      <c r="B605" s="84"/>
      <c r="C605" s="84"/>
      <c r="E605" s="84"/>
      <c r="G605" s="84"/>
    </row>
    <row r="606" ht="15.75" customHeight="1">
      <c r="A606" s="84"/>
      <c r="B606" s="84"/>
      <c r="C606" s="84"/>
      <c r="E606" s="84"/>
      <c r="G606" s="84"/>
    </row>
    <row r="607" ht="15.75" customHeight="1">
      <c r="A607" s="84"/>
      <c r="B607" s="84"/>
      <c r="C607" s="84"/>
      <c r="E607" s="84"/>
      <c r="G607" s="84"/>
    </row>
    <row r="608" ht="15.75" customHeight="1">
      <c r="A608" s="84"/>
      <c r="B608" s="84"/>
      <c r="C608" s="84"/>
      <c r="E608" s="84"/>
      <c r="G608" s="84"/>
    </row>
    <row r="609" ht="15.75" customHeight="1">
      <c r="A609" s="84"/>
      <c r="B609" s="84"/>
      <c r="C609" s="84"/>
      <c r="E609" s="84"/>
      <c r="G609" s="84"/>
    </row>
    <row r="610" ht="15.75" customHeight="1">
      <c r="A610" s="84"/>
      <c r="B610" s="84"/>
      <c r="C610" s="84"/>
      <c r="E610" s="84"/>
      <c r="G610" s="84"/>
    </row>
    <row r="611" ht="15.75" customHeight="1">
      <c r="A611" s="84"/>
      <c r="B611" s="84"/>
      <c r="C611" s="84"/>
      <c r="E611" s="84"/>
      <c r="G611" s="84"/>
    </row>
    <row r="612" ht="15.75" customHeight="1">
      <c r="A612" s="84"/>
      <c r="B612" s="84"/>
      <c r="C612" s="84"/>
      <c r="E612" s="84"/>
      <c r="G612" s="84"/>
    </row>
    <row r="613" ht="15.75" customHeight="1">
      <c r="A613" s="84"/>
      <c r="B613" s="84"/>
      <c r="C613" s="84"/>
      <c r="E613" s="84"/>
      <c r="G613" s="84"/>
    </row>
    <row r="614" ht="15.75" customHeight="1">
      <c r="A614" s="84"/>
      <c r="B614" s="84"/>
      <c r="C614" s="84"/>
      <c r="E614" s="84"/>
      <c r="G614" s="84"/>
    </row>
    <row r="615" ht="15.75" customHeight="1">
      <c r="A615" s="84"/>
      <c r="B615" s="84"/>
      <c r="C615" s="84"/>
      <c r="E615" s="84"/>
      <c r="G615" s="84"/>
    </row>
    <row r="616" ht="15.75" customHeight="1">
      <c r="A616" s="84"/>
      <c r="B616" s="84"/>
      <c r="C616" s="84"/>
      <c r="E616" s="84"/>
      <c r="G616" s="84"/>
    </row>
    <row r="617" ht="15.75" customHeight="1">
      <c r="A617" s="84"/>
      <c r="B617" s="84"/>
      <c r="C617" s="84"/>
      <c r="E617" s="84"/>
      <c r="G617" s="84"/>
    </row>
    <row r="618" ht="15.75" customHeight="1">
      <c r="A618" s="84"/>
      <c r="B618" s="84"/>
      <c r="C618" s="84"/>
      <c r="E618" s="84"/>
      <c r="G618" s="84"/>
    </row>
    <row r="619" ht="15.75" customHeight="1">
      <c r="A619" s="84"/>
      <c r="B619" s="84"/>
      <c r="C619" s="84"/>
      <c r="E619" s="84"/>
      <c r="G619" s="84"/>
    </row>
    <row r="620" ht="15.75" customHeight="1">
      <c r="A620" s="84"/>
      <c r="B620" s="84"/>
      <c r="C620" s="84"/>
      <c r="E620" s="84"/>
      <c r="G620" s="84"/>
    </row>
    <row r="621" ht="15.75" customHeight="1">
      <c r="A621" s="84"/>
      <c r="B621" s="84"/>
      <c r="C621" s="84"/>
      <c r="E621" s="84"/>
      <c r="G621" s="84"/>
    </row>
    <row r="622" ht="15.75" customHeight="1">
      <c r="A622" s="84"/>
      <c r="B622" s="84"/>
      <c r="C622" s="84"/>
      <c r="E622" s="84"/>
      <c r="G622" s="84"/>
    </row>
    <row r="623" ht="15.75" customHeight="1">
      <c r="A623" s="84"/>
      <c r="B623" s="84"/>
      <c r="C623" s="84"/>
      <c r="E623" s="84"/>
      <c r="G623" s="84"/>
    </row>
    <row r="624" ht="15.75" customHeight="1">
      <c r="A624" s="84"/>
      <c r="B624" s="84"/>
      <c r="C624" s="84"/>
      <c r="E624" s="84"/>
      <c r="G624" s="84"/>
    </row>
    <row r="625" ht="15.75" customHeight="1">
      <c r="A625" s="84"/>
      <c r="B625" s="84"/>
      <c r="C625" s="84"/>
      <c r="E625" s="84"/>
      <c r="G625" s="84"/>
    </row>
    <row r="626" ht="15.75" customHeight="1">
      <c r="A626" s="84"/>
      <c r="B626" s="84"/>
      <c r="C626" s="84"/>
      <c r="E626" s="84"/>
      <c r="G626" s="84"/>
    </row>
    <row r="627" ht="15.75" customHeight="1">
      <c r="A627" s="84"/>
      <c r="B627" s="84"/>
      <c r="C627" s="84"/>
      <c r="E627" s="84"/>
      <c r="G627" s="84"/>
    </row>
    <row r="628" ht="15.75" customHeight="1">
      <c r="A628" s="84"/>
      <c r="B628" s="84"/>
      <c r="C628" s="84"/>
      <c r="E628" s="84"/>
      <c r="G628" s="84"/>
    </row>
    <row r="629" ht="15.75" customHeight="1">
      <c r="A629" s="84"/>
      <c r="B629" s="84"/>
      <c r="C629" s="84"/>
      <c r="E629" s="84"/>
      <c r="G629" s="84"/>
    </row>
    <row r="630" ht="15.75" customHeight="1">
      <c r="A630" s="84"/>
      <c r="B630" s="84"/>
      <c r="C630" s="84"/>
      <c r="E630" s="84"/>
      <c r="G630" s="84"/>
    </row>
    <row r="631" ht="15.75" customHeight="1">
      <c r="A631" s="84"/>
      <c r="B631" s="84"/>
      <c r="C631" s="84"/>
      <c r="E631" s="84"/>
      <c r="G631" s="84"/>
    </row>
    <row r="632" ht="15.75" customHeight="1">
      <c r="A632" s="84"/>
      <c r="B632" s="84"/>
      <c r="C632" s="84"/>
      <c r="E632" s="84"/>
      <c r="G632" s="84"/>
    </row>
    <row r="633" ht="15.75" customHeight="1">
      <c r="A633" s="84"/>
      <c r="B633" s="84"/>
      <c r="C633" s="84"/>
      <c r="E633" s="84"/>
      <c r="G633" s="84"/>
    </row>
    <row r="634" ht="15.75" customHeight="1">
      <c r="A634" s="84"/>
      <c r="B634" s="84"/>
      <c r="C634" s="84"/>
      <c r="E634" s="84"/>
      <c r="G634" s="84"/>
    </row>
    <row r="635" ht="15.75" customHeight="1">
      <c r="A635" s="84"/>
      <c r="B635" s="84"/>
      <c r="C635" s="84"/>
      <c r="E635" s="84"/>
      <c r="G635" s="84"/>
    </row>
    <row r="636" ht="15.75" customHeight="1">
      <c r="A636" s="84"/>
      <c r="B636" s="84"/>
      <c r="C636" s="84"/>
      <c r="E636" s="84"/>
      <c r="G636" s="84"/>
    </row>
    <row r="637" ht="15.75" customHeight="1">
      <c r="A637" s="84"/>
      <c r="B637" s="84"/>
      <c r="C637" s="84"/>
      <c r="E637" s="84"/>
      <c r="G637" s="84"/>
    </row>
    <row r="638" ht="15.75" customHeight="1">
      <c r="A638" s="84"/>
      <c r="B638" s="84"/>
      <c r="C638" s="84"/>
      <c r="E638" s="84"/>
      <c r="G638" s="84"/>
    </row>
    <row r="639" ht="15.75" customHeight="1">
      <c r="A639" s="84"/>
      <c r="B639" s="84"/>
      <c r="C639" s="84"/>
      <c r="E639" s="84"/>
      <c r="G639" s="84"/>
    </row>
    <row r="640" ht="15.75" customHeight="1">
      <c r="A640" s="84"/>
      <c r="B640" s="84"/>
      <c r="C640" s="84"/>
      <c r="E640" s="84"/>
      <c r="G640" s="84"/>
    </row>
    <row r="641" ht="15.75" customHeight="1">
      <c r="A641" s="84"/>
      <c r="B641" s="84"/>
      <c r="C641" s="84"/>
      <c r="E641" s="84"/>
      <c r="G641" s="84"/>
    </row>
    <row r="642" ht="15.75" customHeight="1">
      <c r="A642" s="84"/>
      <c r="B642" s="84"/>
      <c r="C642" s="84"/>
      <c r="E642" s="84"/>
      <c r="G642" s="84"/>
    </row>
    <row r="643" ht="15.75" customHeight="1">
      <c r="A643" s="84"/>
      <c r="B643" s="84"/>
      <c r="C643" s="84"/>
      <c r="E643" s="84"/>
      <c r="G643" s="84"/>
    </row>
    <row r="644" ht="15.75" customHeight="1">
      <c r="A644" s="84"/>
      <c r="B644" s="84"/>
      <c r="C644" s="84"/>
      <c r="E644" s="84"/>
      <c r="G644" s="84"/>
    </row>
    <row r="645" ht="15.75" customHeight="1">
      <c r="A645" s="84"/>
      <c r="B645" s="84"/>
      <c r="C645" s="84"/>
      <c r="E645" s="84"/>
      <c r="G645" s="84"/>
    </row>
    <row r="646" ht="15.75" customHeight="1">
      <c r="A646" s="84"/>
      <c r="B646" s="84"/>
      <c r="C646" s="84"/>
      <c r="E646" s="84"/>
      <c r="G646" s="84"/>
    </row>
    <row r="647" ht="15.75" customHeight="1">
      <c r="A647" s="84"/>
      <c r="B647" s="84"/>
      <c r="C647" s="84"/>
      <c r="E647" s="84"/>
      <c r="G647" s="84"/>
    </row>
    <row r="648" ht="15.75" customHeight="1">
      <c r="A648" s="84"/>
      <c r="B648" s="84"/>
      <c r="C648" s="84"/>
      <c r="E648" s="84"/>
      <c r="G648" s="84"/>
    </row>
    <row r="649" ht="15.75" customHeight="1">
      <c r="A649" s="84"/>
      <c r="B649" s="84"/>
      <c r="C649" s="84"/>
      <c r="E649" s="84"/>
      <c r="G649" s="84"/>
    </row>
    <row r="650" ht="15.75" customHeight="1">
      <c r="A650" s="84"/>
      <c r="B650" s="84"/>
      <c r="C650" s="84"/>
      <c r="E650" s="84"/>
      <c r="G650" s="84"/>
    </row>
    <row r="651" ht="15.75" customHeight="1">
      <c r="A651" s="84"/>
      <c r="B651" s="84"/>
      <c r="C651" s="84"/>
      <c r="E651" s="84"/>
      <c r="G651" s="84"/>
    </row>
    <row r="652" ht="15.75" customHeight="1">
      <c r="A652" s="84"/>
      <c r="B652" s="84"/>
      <c r="C652" s="84"/>
      <c r="E652" s="84"/>
      <c r="G652" s="84"/>
    </row>
    <row r="653" ht="15.75" customHeight="1">
      <c r="A653" s="84"/>
      <c r="B653" s="84"/>
      <c r="C653" s="84"/>
      <c r="E653" s="84"/>
      <c r="G653" s="84"/>
    </row>
    <row r="654" ht="15.75" customHeight="1">
      <c r="A654" s="84"/>
      <c r="B654" s="84"/>
      <c r="C654" s="84"/>
      <c r="E654" s="84"/>
      <c r="G654" s="84"/>
    </row>
    <row r="655" ht="15.75" customHeight="1">
      <c r="A655" s="84"/>
      <c r="B655" s="84"/>
      <c r="C655" s="84"/>
      <c r="E655" s="84"/>
      <c r="G655" s="84"/>
    </row>
    <row r="656" ht="15.75" customHeight="1">
      <c r="A656" s="84"/>
      <c r="B656" s="84"/>
      <c r="C656" s="84"/>
      <c r="E656" s="84"/>
      <c r="G656" s="84"/>
    </row>
    <row r="657" ht="15.75" customHeight="1">
      <c r="A657" s="84"/>
      <c r="B657" s="84"/>
      <c r="C657" s="84"/>
      <c r="E657" s="84"/>
      <c r="G657" s="84"/>
    </row>
    <row r="658" ht="15.75" customHeight="1">
      <c r="A658" s="84"/>
      <c r="B658" s="84"/>
      <c r="C658" s="84"/>
      <c r="E658" s="84"/>
      <c r="G658" s="84"/>
    </row>
    <row r="659" ht="15.75" customHeight="1">
      <c r="A659" s="84"/>
      <c r="B659" s="84"/>
      <c r="C659" s="84"/>
      <c r="E659" s="84"/>
      <c r="G659" s="84"/>
    </row>
    <row r="660" ht="15.75" customHeight="1">
      <c r="A660" s="84"/>
      <c r="B660" s="84"/>
      <c r="C660" s="84"/>
      <c r="E660" s="84"/>
      <c r="G660" s="84"/>
    </row>
    <row r="661" ht="15.75" customHeight="1">
      <c r="A661" s="84"/>
      <c r="B661" s="84"/>
      <c r="C661" s="84"/>
      <c r="E661" s="84"/>
      <c r="G661" s="84"/>
    </row>
    <row r="662" ht="15.75" customHeight="1">
      <c r="A662" s="84"/>
      <c r="B662" s="84"/>
      <c r="C662" s="84"/>
      <c r="E662" s="84"/>
      <c r="G662" s="84"/>
    </row>
    <row r="663" ht="15.75" customHeight="1">
      <c r="A663" s="84"/>
      <c r="B663" s="84"/>
      <c r="C663" s="84"/>
      <c r="E663" s="84"/>
      <c r="G663" s="84"/>
    </row>
    <row r="664" ht="15.75" customHeight="1">
      <c r="A664" s="84"/>
      <c r="B664" s="84"/>
      <c r="C664" s="84"/>
      <c r="E664" s="84"/>
      <c r="G664" s="84"/>
    </row>
    <row r="665" ht="15.75" customHeight="1">
      <c r="A665" s="84"/>
      <c r="B665" s="84"/>
      <c r="C665" s="84"/>
      <c r="E665" s="84"/>
      <c r="G665" s="84"/>
    </row>
    <row r="666" ht="15.75" customHeight="1">
      <c r="A666" s="84"/>
      <c r="B666" s="84"/>
      <c r="C666" s="84"/>
      <c r="E666" s="84"/>
      <c r="G666" s="84"/>
    </row>
    <row r="667" ht="15.75" customHeight="1">
      <c r="A667" s="84"/>
      <c r="B667" s="84"/>
      <c r="C667" s="84"/>
      <c r="E667" s="84"/>
      <c r="G667" s="84"/>
    </row>
    <row r="668" ht="15.75" customHeight="1">
      <c r="A668" s="84"/>
      <c r="B668" s="84"/>
      <c r="C668" s="84"/>
      <c r="E668" s="84"/>
      <c r="G668" s="84"/>
    </row>
    <row r="669" ht="15.75" customHeight="1">
      <c r="A669" s="84"/>
      <c r="B669" s="84"/>
      <c r="C669" s="84"/>
      <c r="E669" s="84"/>
      <c r="G669" s="84"/>
    </row>
    <row r="670" ht="15.75" customHeight="1">
      <c r="A670" s="84"/>
      <c r="B670" s="84"/>
      <c r="C670" s="84"/>
      <c r="E670" s="84"/>
      <c r="G670" s="84"/>
    </row>
    <row r="671" ht="15.75" customHeight="1">
      <c r="A671" s="84"/>
      <c r="B671" s="84"/>
      <c r="C671" s="84"/>
      <c r="E671" s="84"/>
      <c r="G671" s="84"/>
    </row>
    <row r="672" ht="15.75" customHeight="1">
      <c r="A672" s="84"/>
      <c r="B672" s="84"/>
      <c r="C672" s="84"/>
      <c r="E672" s="84"/>
      <c r="G672" s="84"/>
    </row>
    <row r="673" ht="15.75" customHeight="1">
      <c r="A673" s="84"/>
      <c r="B673" s="84"/>
      <c r="C673" s="84"/>
      <c r="E673" s="84"/>
      <c r="G673" s="84"/>
    </row>
    <row r="674" ht="15.75" customHeight="1">
      <c r="A674" s="84"/>
      <c r="B674" s="84"/>
      <c r="C674" s="84"/>
      <c r="E674" s="84"/>
      <c r="G674" s="84"/>
    </row>
    <row r="675" ht="15.75" customHeight="1">
      <c r="A675" s="84"/>
      <c r="B675" s="84"/>
      <c r="C675" s="84"/>
      <c r="E675" s="84"/>
      <c r="G675" s="84"/>
    </row>
    <row r="676" ht="15.75" customHeight="1">
      <c r="A676" s="84"/>
      <c r="B676" s="84"/>
      <c r="C676" s="84"/>
      <c r="E676" s="84"/>
      <c r="G676" s="84"/>
    </row>
    <row r="677" ht="15.75" customHeight="1">
      <c r="A677" s="84"/>
      <c r="B677" s="84"/>
      <c r="C677" s="84"/>
      <c r="E677" s="84"/>
      <c r="G677" s="84"/>
    </row>
    <row r="678" ht="15.75" customHeight="1">
      <c r="A678" s="84"/>
      <c r="B678" s="84"/>
      <c r="C678" s="84"/>
      <c r="E678" s="84"/>
      <c r="G678" s="84"/>
    </row>
    <row r="679" ht="15.75" customHeight="1">
      <c r="A679" s="84"/>
      <c r="B679" s="84"/>
      <c r="C679" s="84"/>
      <c r="E679" s="84"/>
      <c r="G679" s="84"/>
    </row>
    <row r="680" ht="15.75" customHeight="1">
      <c r="A680" s="84"/>
      <c r="B680" s="84"/>
      <c r="C680" s="84"/>
      <c r="E680" s="84"/>
      <c r="G680" s="84"/>
    </row>
    <row r="681" ht="15.75" customHeight="1">
      <c r="A681" s="84"/>
      <c r="B681" s="84"/>
      <c r="C681" s="84"/>
      <c r="E681" s="84"/>
      <c r="G681" s="84"/>
    </row>
    <row r="682" ht="15.75" customHeight="1">
      <c r="A682" s="84"/>
      <c r="B682" s="84"/>
      <c r="C682" s="84"/>
      <c r="E682" s="84"/>
      <c r="G682" s="84"/>
    </row>
    <row r="683" ht="15.75" customHeight="1">
      <c r="A683" s="84"/>
      <c r="B683" s="84"/>
      <c r="C683" s="84"/>
      <c r="E683" s="84"/>
      <c r="G683" s="84"/>
    </row>
    <row r="684" ht="15.75" customHeight="1">
      <c r="A684" s="84"/>
      <c r="B684" s="84"/>
      <c r="C684" s="84"/>
      <c r="E684" s="84"/>
      <c r="G684" s="84"/>
    </row>
    <row r="685" ht="15.75" customHeight="1">
      <c r="A685" s="84"/>
      <c r="B685" s="84"/>
      <c r="C685" s="84"/>
      <c r="E685" s="84"/>
      <c r="G685" s="84"/>
    </row>
    <row r="686" ht="15.75" customHeight="1">
      <c r="A686" s="84"/>
      <c r="B686" s="84"/>
      <c r="C686" s="84"/>
      <c r="E686" s="84"/>
      <c r="G686" s="84"/>
    </row>
    <row r="687" ht="15.75" customHeight="1">
      <c r="A687" s="84"/>
      <c r="B687" s="84"/>
      <c r="C687" s="84"/>
      <c r="E687" s="84"/>
      <c r="G687" s="84"/>
    </row>
    <row r="688" ht="15.75" customHeight="1">
      <c r="A688" s="84"/>
      <c r="B688" s="84"/>
      <c r="C688" s="84"/>
      <c r="E688" s="84"/>
      <c r="G688" s="84"/>
    </row>
    <row r="689" ht="15.75" customHeight="1">
      <c r="A689" s="84"/>
      <c r="B689" s="84"/>
      <c r="C689" s="84"/>
      <c r="E689" s="84"/>
      <c r="G689" s="84"/>
    </row>
    <row r="690" ht="15.75" customHeight="1">
      <c r="A690" s="84"/>
      <c r="B690" s="84"/>
      <c r="C690" s="84"/>
      <c r="E690" s="84"/>
      <c r="G690" s="84"/>
    </row>
    <row r="691" ht="15.75" customHeight="1">
      <c r="A691" s="84"/>
      <c r="B691" s="84"/>
      <c r="C691" s="84"/>
      <c r="E691" s="84"/>
      <c r="G691" s="84"/>
    </row>
    <row r="692" ht="15.75" customHeight="1">
      <c r="A692" s="84"/>
      <c r="B692" s="84"/>
      <c r="C692" s="84"/>
      <c r="E692" s="84"/>
      <c r="G692" s="84"/>
    </row>
    <row r="693" ht="15.75" customHeight="1">
      <c r="A693" s="84"/>
      <c r="B693" s="84"/>
      <c r="C693" s="84"/>
      <c r="E693" s="84"/>
      <c r="G693" s="84"/>
    </row>
    <row r="694" ht="15.75" customHeight="1">
      <c r="A694" s="84"/>
      <c r="B694" s="84"/>
      <c r="C694" s="84"/>
      <c r="E694" s="84"/>
      <c r="G694" s="84"/>
    </row>
    <row r="695" ht="15.75" customHeight="1">
      <c r="A695" s="84"/>
      <c r="B695" s="84"/>
      <c r="C695" s="84"/>
      <c r="E695" s="84"/>
      <c r="G695" s="84"/>
    </row>
    <row r="696" ht="15.75" customHeight="1">
      <c r="A696" s="84"/>
      <c r="B696" s="84"/>
      <c r="C696" s="84"/>
      <c r="E696" s="84"/>
      <c r="G696" s="84"/>
    </row>
    <row r="697" ht="15.75" customHeight="1">
      <c r="A697" s="84"/>
      <c r="B697" s="84"/>
      <c r="C697" s="84"/>
      <c r="E697" s="84"/>
      <c r="G697" s="84"/>
    </row>
    <row r="698" ht="15.75" customHeight="1">
      <c r="A698" s="84"/>
      <c r="B698" s="84"/>
      <c r="C698" s="84"/>
      <c r="E698" s="84"/>
      <c r="G698" s="84"/>
    </row>
    <row r="699" ht="15.75" customHeight="1">
      <c r="A699" s="84"/>
      <c r="B699" s="84"/>
      <c r="C699" s="84"/>
      <c r="E699" s="84"/>
      <c r="G699" s="84"/>
    </row>
    <row r="700" ht="15.75" customHeight="1">
      <c r="A700" s="84"/>
      <c r="B700" s="84"/>
      <c r="C700" s="84"/>
      <c r="E700" s="84"/>
      <c r="G700" s="84"/>
    </row>
    <row r="701" ht="15.75" customHeight="1">
      <c r="A701" s="84"/>
      <c r="B701" s="84"/>
      <c r="C701" s="84"/>
      <c r="E701" s="84"/>
      <c r="G701" s="84"/>
    </row>
    <row r="702" ht="15.75" customHeight="1">
      <c r="A702" s="84"/>
      <c r="B702" s="84"/>
      <c r="C702" s="84"/>
      <c r="E702" s="84"/>
      <c r="G702" s="84"/>
    </row>
    <row r="703" ht="15.75" customHeight="1">
      <c r="A703" s="84"/>
      <c r="B703" s="84"/>
      <c r="C703" s="84"/>
      <c r="E703" s="84"/>
      <c r="G703" s="84"/>
    </row>
    <row r="704" ht="15.75" customHeight="1">
      <c r="A704" s="84"/>
      <c r="B704" s="84"/>
      <c r="C704" s="84"/>
      <c r="E704" s="84"/>
      <c r="G704" s="84"/>
    </row>
    <row r="705" ht="15.75" customHeight="1">
      <c r="A705" s="84"/>
      <c r="B705" s="84"/>
      <c r="C705" s="84"/>
      <c r="E705" s="84"/>
      <c r="G705" s="84"/>
    </row>
    <row r="706" ht="15.75" customHeight="1">
      <c r="A706" s="84"/>
      <c r="B706" s="84"/>
      <c r="C706" s="84"/>
      <c r="E706" s="84"/>
      <c r="G706" s="84"/>
    </row>
    <row r="707" ht="15.75" customHeight="1">
      <c r="A707" s="84"/>
      <c r="B707" s="84"/>
      <c r="C707" s="84"/>
      <c r="E707" s="84"/>
      <c r="G707" s="84"/>
    </row>
    <row r="708" ht="15.75" customHeight="1">
      <c r="A708" s="84"/>
      <c r="B708" s="84"/>
      <c r="C708" s="84"/>
      <c r="E708" s="84"/>
      <c r="G708" s="84"/>
    </row>
    <row r="709" ht="15.75" customHeight="1">
      <c r="A709" s="84"/>
      <c r="B709" s="84"/>
      <c r="C709" s="84"/>
      <c r="E709" s="84"/>
      <c r="G709" s="84"/>
    </row>
    <row r="710" ht="15.75" customHeight="1">
      <c r="A710" s="84"/>
      <c r="B710" s="84"/>
      <c r="C710" s="84"/>
      <c r="E710" s="84"/>
      <c r="G710" s="84"/>
    </row>
    <row r="711" ht="15.75" customHeight="1">
      <c r="A711" s="84"/>
      <c r="B711" s="84"/>
      <c r="C711" s="84"/>
      <c r="E711" s="84"/>
      <c r="G711" s="84"/>
    </row>
    <row r="712" ht="15.75" customHeight="1">
      <c r="A712" s="84"/>
      <c r="B712" s="84"/>
      <c r="C712" s="84"/>
      <c r="E712" s="84"/>
      <c r="G712" s="84"/>
    </row>
    <row r="713" ht="15.75" customHeight="1">
      <c r="A713" s="84"/>
      <c r="B713" s="84"/>
      <c r="C713" s="84"/>
      <c r="E713" s="84"/>
      <c r="G713" s="84"/>
    </row>
    <row r="714" ht="15.75" customHeight="1">
      <c r="A714" s="84"/>
      <c r="B714" s="84"/>
      <c r="C714" s="84"/>
      <c r="E714" s="84"/>
      <c r="G714" s="84"/>
    </row>
    <row r="715" ht="15.75" customHeight="1">
      <c r="A715" s="84"/>
      <c r="B715" s="84"/>
      <c r="C715" s="84"/>
      <c r="E715" s="84"/>
      <c r="G715" s="84"/>
    </row>
    <row r="716" ht="15.75" customHeight="1">
      <c r="A716" s="84"/>
      <c r="B716" s="84"/>
      <c r="C716" s="84"/>
      <c r="E716" s="84"/>
      <c r="G716" s="84"/>
    </row>
    <row r="717" ht="15.75" customHeight="1">
      <c r="A717" s="84"/>
      <c r="B717" s="84"/>
      <c r="C717" s="84"/>
      <c r="E717" s="84"/>
      <c r="G717" s="84"/>
    </row>
    <row r="718" ht="15.75" customHeight="1">
      <c r="A718" s="84"/>
      <c r="B718" s="84"/>
      <c r="C718" s="84"/>
      <c r="E718" s="84"/>
      <c r="G718" s="84"/>
    </row>
    <row r="719" ht="15.75" customHeight="1">
      <c r="A719" s="84"/>
      <c r="B719" s="84"/>
      <c r="C719" s="84"/>
      <c r="E719" s="84"/>
      <c r="G719" s="84"/>
    </row>
    <row r="720" ht="15.75" customHeight="1">
      <c r="A720" s="84"/>
      <c r="B720" s="84"/>
      <c r="C720" s="84"/>
      <c r="E720" s="84"/>
      <c r="G720" s="84"/>
    </row>
    <row r="721" ht="15.75" customHeight="1">
      <c r="A721" s="84"/>
      <c r="B721" s="84"/>
      <c r="C721" s="84"/>
      <c r="E721" s="84"/>
      <c r="G721" s="84"/>
    </row>
    <row r="722" ht="15.75" customHeight="1">
      <c r="A722" s="84"/>
      <c r="B722" s="84"/>
      <c r="C722" s="84"/>
      <c r="E722" s="84"/>
      <c r="G722" s="84"/>
    </row>
    <row r="723" ht="15.75" customHeight="1">
      <c r="A723" s="84"/>
      <c r="B723" s="84"/>
      <c r="C723" s="84"/>
      <c r="E723" s="84"/>
      <c r="G723" s="84"/>
    </row>
    <row r="724" ht="15.75" customHeight="1">
      <c r="A724" s="84"/>
      <c r="B724" s="84"/>
      <c r="C724" s="84"/>
      <c r="E724" s="84"/>
      <c r="G724" s="84"/>
    </row>
    <row r="725" ht="15.75" customHeight="1">
      <c r="A725" s="84"/>
      <c r="B725" s="84"/>
      <c r="C725" s="84"/>
      <c r="E725" s="84"/>
      <c r="G725" s="84"/>
    </row>
    <row r="726" ht="15.75" customHeight="1">
      <c r="A726" s="84"/>
      <c r="B726" s="84"/>
      <c r="C726" s="84"/>
      <c r="E726" s="84"/>
      <c r="G726" s="84"/>
    </row>
    <row r="727" ht="15.75" customHeight="1">
      <c r="A727" s="84"/>
      <c r="B727" s="84"/>
      <c r="C727" s="84"/>
      <c r="E727" s="84"/>
      <c r="G727" s="84"/>
    </row>
    <row r="728" ht="15.75" customHeight="1">
      <c r="A728" s="84"/>
      <c r="B728" s="84"/>
      <c r="C728" s="84"/>
      <c r="E728" s="84"/>
      <c r="G728" s="84"/>
    </row>
    <row r="729" ht="15.75" customHeight="1">
      <c r="A729" s="84"/>
      <c r="B729" s="84"/>
      <c r="C729" s="84"/>
      <c r="E729" s="84"/>
      <c r="G729" s="84"/>
    </row>
    <row r="730" ht="15.75" customHeight="1">
      <c r="A730" s="84"/>
      <c r="B730" s="84"/>
      <c r="C730" s="84"/>
      <c r="E730" s="84"/>
      <c r="G730" s="84"/>
    </row>
    <row r="731" ht="15.75" customHeight="1">
      <c r="A731" s="84"/>
      <c r="B731" s="84"/>
      <c r="C731" s="84"/>
      <c r="E731" s="84"/>
      <c r="G731" s="84"/>
    </row>
    <row r="732" ht="15.75" customHeight="1">
      <c r="A732" s="84"/>
      <c r="B732" s="84"/>
      <c r="C732" s="84"/>
      <c r="E732" s="84"/>
      <c r="G732" s="84"/>
    </row>
    <row r="733" ht="15.75" customHeight="1">
      <c r="A733" s="84"/>
      <c r="B733" s="84"/>
      <c r="C733" s="84"/>
      <c r="E733" s="84"/>
      <c r="G733" s="84"/>
    </row>
    <row r="734" ht="15.75" customHeight="1">
      <c r="A734" s="84"/>
      <c r="B734" s="84"/>
      <c r="C734" s="84"/>
      <c r="E734" s="84"/>
      <c r="G734" s="84"/>
    </row>
    <row r="735" ht="15.75" customHeight="1">
      <c r="A735" s="84"/>
      <c r="B735" s="84"/>
      <c r="C735" s="84"/>
      <c r="E735" s="84"/>
      <c r="G735" s="84"/>
    </row>
    <row r="736" ht="15.75" customHeight="1">
      <c r="A736" s="84"/>
      <c r="B736" s="84"/>
      <c r="C736" s="84"/>
      <c r="E736" s="84"/>
      <c r="G736" s="84"/>
    </row>
    <row r="737" ht="15.75" customHeight="1">
      <c r="A737" s="84"/>
      <c r="B737" s="84"/>
      <c r="C737" s="84"/>
      <c r="E737" s="84"/>
      <c r="G737" s="84"/>
    </row>
    <row r="738" ht="15.75" customHeight="1">
      <c r="A738" s="84"/>
      <c r="B738" s="84"/>
      <c r="C738" s="84"/>
      <c r="E738" s="84"/>
      <c r="G738" s="84"/>
    </row>
    <row r="739" ht="15.75" customHeight="1">
      <c r="A739" s="84"/>
      <c r="B739" s="84"/>
      <c r="C739" s="84"/>
      <c r="E739" s="84"/>
      <c r="G739" s="84"/>
    </row>
    <row r="740" ht="15.75" customHeight="1">
      <c r="A740" s="84"/>
      <c r="B740" s="84"/>
      <c r="C740" s="84"/>
      <c r="E740" s="84"/>
      <c r="G740" s="84"/>
    </row>
    <row r="741" ht="15.75" customHeight="1">
      <c r="A741" s="84"/>
      <c r="B741" s="84"/>
      <c r="C741" s="84"/>
      <c r="E741" s="84"/>
      <c r="G741" s="84"/>
    </row>
    <row r="742" ht="15.75" customHeight="1">
      <c r="A742" s="84"/>
      <c r="B742" s="84"/>
      <c r="C742" s="84"/>
      <c r="E742" s="84"/>
      <c r="G742" s="84"/>
    </row>
    <row r="743" ht="15.75" customHeight="1">
      <c r="A743" s="84"/>
      <c r="B743" s="84"/>
      <c r="C743" s="84"/>
      <c r="E743" s="84"/>
      <c r="G743" s="84"/>
    </row>
    <row r="744" ht="15.75" customHeight="1">
      <c r="A744" s="84"/>
      <c r="B744" s="84"/>
      <c r="C744" s="84"/>
      <c r="E744" s="84"/>
      <c r="G744" s="84"/>
    </row>
    <row r="745" ht="15.75" customHeight="1">
      <c r="A745" s="84"/>
      <c r="B745" s="84"/>
      <c r="C745" s="84"/>
      <c r="E745" s="84"/>
      <c r="G745" s="84"/>
    </row>
    <row r="746" ht="15.75" customHeight="1">
      <c r="A746" s="84"/>
      <c r="B746" s="84"/>
      <c r="C746" s="84"/>
      <c r="E746" s="84"/>
      <c r="G746" s="84"/>
    </row>
    <row r="747" ht="15.75" customHeight="1">
      <c r="A747" s="84"/>
      <c r="B747" s="84"/>
      <c r="C747" s="84"/>
      <c r="E747" s="84"/>
      <c r="G747" s="84"/>
    </row>
    <row r="748" ht="15.75" customHeight="1">
      <c r="A748" s="84"/>
      <c r="B748" s="84"/>
      <c r="C748" s="84"/>
      <c r="E748" s="84"/>
      <c r="G748" s="84"/>
    </row>
    <row r="749" ht="15.75" customHeight="1">
      <c r="A749" s="84"/>
      <c r="B749" s="84"/>
      <c r="C749" s="84"/>
      <c r="E749" s="84"/>
      <c r="G749" s="84"/>
    </row>
    <row r="750" ht="15.75" customHeight="1">
      <c r="A750" s="84"/>
      <c r="B750" s="84"/>
      <c r="C750" s="84"/>
      <c r="E750" s="84"/>
      <c r="G750" s="84"/>
    </row>
    <row r="751" ht="15.75" customHeight="1">
      <c r="A751" s="84"/>
      <c r="B751" s="84"/>
      <c r="C751" s="84"/>
      <c r="E751" s="84"/>
      <c r="G751" s="84"/>
    </row>
    <row r="752" ht="15.75" customHeight="1">
      <c r="A752" s="84"/>
      <c r="B752" s="84"/>
      <c r="C752" s="84"/>
      <c r="E752" s="84"/>
      <c r="G752" s="84"/>
    </row>
    <row r="753" ht="15.75" customHeight="1">
      <c r="A753" s="84"/>
      <c r="B753" s="84"/>
      <c r="C753" s="84"/>
      <c r="E753" s="84"/>
      <c r="G753" s="84"/>
    </row>
    <row r="754" ht="15.75" customHeight="1">
      <c r="A754" s="84"/>
      <c r="B754" s="84"/>
      <c r="C754" s="84"/>
      <c r="E754" s="84"/>
      <c r="G754" s="84"/>
    </row>
    <row r="755" ht="15.75" customHeight="1">
      <c r="A755" s="84"/>
      <c r="B755" s="84"/>
      <c r="C755" s="84"/>
      <c r="E755" s="84"/>
      <c r="G755" s="84"/>
    </row>
    <row r="756" ht="15.75" customHeight="1">
      <c r="A756" s="84"/>
      <c r="B756" s="84"/>
      <c r="C756" s="84"/>
      <c r="E756" s="84"/>
      <c r="G756" s="84"/>
    </row>
    <row r="757" ht="15.75" customHeight="1">
      <c r="A757" s="84"/>
      <c r="B757" s="84"/>
      <c r="C757" s="84"/>
      <c r="E757" s="84"/>
      <c r="G757" s="84"/>
    </row>
    <row r="758" ht="15.75" customHeight="1">
      <c r="A758" s="84"/>
      <c r="B758" s="84"/>
      <c r="C758" s="84"/>
      <c r="E758" s="84"/>
      <c r="G758" s="84"/>
    </row>
    <row r="759" ht="15.75" customHeight="1">
      <c r="A759" s="84"/>
      <c r="B759" s="84"/>
      <c r="C759" s="84"/>
      <c r="E759" s="84"/>
      <c r="G759" s="84"/>
    </row>
    <row r="760" ht="15.75" customHeight="1">
      <c r="A760" s="84"/>
      <c r="B760" s="84"/>
      <c r="C760" s="84"/>
      <c r="E760" s="84"/>
      <c r="G760" s="84"/>
    </row>
    <row r="761" ht="15.75" customHeight="1">
      <c r="A761" s="84"/>
      <c r="B761" s="84"/>
      <c r="C761" s="84"/>
      <c r="E761" s="84"/>
      <c r="G761" s="84"/>
    </row>
    <row r="762" ht="15.75" customHeight="1">
      <c r="A762" s="84"/>
      <c r="B762" s="84"/>
      <c r="C762" s="84"/>
      <c r="E762" s="84"/>
      <c r="G762" s="84"/>
    </row>
    <row r="763" ht="15.75" customHeight="1">
      <c r="A763" s="84"/>
      <c r="B763" s="84"/>
      <c r="C763" s="84"/>
      <c r="E763" s="84"/>
      <c r="G763" s="84"/>
    </row>
    <row r="764" ht="15.75" customHeight="1">
      <c r="A764" s="84"/>
      <c r="B764" s="84"/>
      <c r="C764" s="84"/>
      <c r="E764" s="84"/>
      <c r="G764" s="84"/>
    </row>
    <row r="765" ht="15.75" customHeight="1">
      <c r="A765" s="84"/>
      <c r="B765" s="84"/>
      <c r="C765" s="84"/>
      <c r="E765" s="84"/>
      <c r="G765" s="84"/>
    </row>
    <row r="766" ht="15.75" customHeight="1">
      <c r="A766" s="84"/>
      <c r="B766" s="84"/>
      <c r="C766" s="84"/>
      <c r="E766" s="84"/>
      <c r="G766" s="84"/>
    </row>
    <row r="767" ht="15.75" customHeight="1">
      <c r="A767" s="84"/>
      <c r="B767" s="84"/>
      <c r="C767" s="84"/>
      <c r="E767" s="84"/>
      <c r="G767" s="84"/>
    </row>
    <row r="768" ht="15.75" customHeight="1">
      <c r="A768" s="84"/>
      <c r="B768" s="84"/>
      <c r="C768" s="84"/>
      <c r="E768" s="84"/>
      <c r="G768" s="84"/>
    </row>
    <row r="769" ht="15.75" customHeight="1">
      <c r="A769" s="84"/>
      <c r="B769" s="84"/>
      <c r="C769" s="84"/>
      <c r="E769" s="84"/>
      <c r="G769" s="84"/>
    </row>
    <row r="770" ht="15.75" customHeight="1">
      <c r="A770" s="84"/>
      <c r="B770" s="84"/>
      <c r="C770" s="84"/>
      <c r="E770" s="84"/>
      <c r="G770" s="84"/>
    </row>
    <row r="771" ht="15.75" customHeight="1">
      <c r="A771" s="84"/>
      <c r="B771" s="84"/>
      <c r="C771" s="84"/>
      <c r="E771" s="84"/>
      <c r="G771" s="84"/>
    </row>
    <row r="772" ht="15.75" customHeight="1">
      <c r="A772" s="84"/>
      <c r="B772" s="84"/>
      <c r="C772" s="84"/>
      <c r="E772" s="84"/>
      <c r="G772" s="84"/>
    </row>
    <row r="773" ht="15.75" customHeight="1">
      <c r="A773" s="84"/>
      <c r="B773" s="84"/>
      <c r="C773" s="84"/>
      <c r="E773" s="84"/>
      <c r="G773" s="84"/>
    </row>
    <row r="774" ht="15.75" customHeight="1">
      <c r="A774" s="84"/>
      <c r="B774" s="84"/>
      <c r="C774" s="84"/>
      <c r="E774" s="84"/>
      <c r="G774" s="84"/>
    </row>
    <row r="775" ht="15.75" customHeight="1">
      <c r="A775" s="84"/>
      <c r="B775" s="84"/>
      <c r="C775" s="84"/>
      <c r="E775" s="84"/>
      <c r="G775" s="84"/>
    </row>
    <row r="776" ht="15.75" customHeight="1">
      <c r="A776" s="84"/>
      <c r="B776" s="84"/>
      <c r="C776" s="84"/>
      <c r="E776" s="84"/>
      <c r="G776" s="84"/>
    </row>
    <row r="777" ht="15.75" customHeight="1">
      <c r="A777" s="84"/>
      <c r="B777" s="84"/>
      <c r="C777" s="84"/>
      <c r="E777" s="84"/>
      <c r="G777" s="84"/>
    </row>
    <row r="778" ht="15.75" customHeight="1">
      <c r="A778" s="84"/>
      <c r="B778" s="84"/>
      <c r="C778" s="84"/>
      <c r="E778" s="84"/>
      <c r="G778" s="84"/>
    </row>
    <row r="779" ht="15.75" customHeight="1">
      <c r="A779" s="84"/>
      <c r="B779" s="84"/>
      <c r="C779" s="84"/>
      <c r="E779" s="84"/>
      <c r="G779" s="84"/>
    </row>
    <row r="780" ht="15.75" customHeight="1">
      <c r="A780" s="84"/>
      <c r="B780" s="84"/>
      <c r="C780" s="84"/>
      <c r="E780" s="84"/>
      <c r="G780" s="84"/>
    </row>
    <row r="781" ht="15.75" customHeight="1">
      <c r="A781" s="84"/>
      <c r="B781" s="84"/>
      <c r="C781" s="84"/>
      <c r="E781" s="84"/>
      <c r="G781" s="84"/>
    </row>
    <row r="782" ht="15.75" customHeight="1">
      <c r="A782" s="84"/>
      <c r="B782" s="84"/>
      <c r="C782" s="84"/>
      <c r="E782" s="84"/>
      <c r="G782" s="84"/>
    </row>
    <row r="783" ht="15.75" customHeight="1">
      <c r="A783" s="84"/>
      <c r="B783" s="84"/>
      <c r="C783" s="84"/>
      <c r="E783" s="84"/>
      <c r="G783" s="84"/>
    </row>
    <row r="784" ht="15.75" customHeight="1">
      <c r="A784" s="84"/>
      <c r="B784" s="84"/>
      <c r="C784" s="84"/>
      <c r="E784" s="84"/>
      <c r="G784" s="84"/>
    </row>
    <row r="785" ht="15.75" customHeight="1">
      <c r="A785" s="84"/>
      <c r="B785" s="84"/>
      <c r="C785" s="84"/>
      <c r="E785" s="84"/>
      <c r="G785" s="84"/>
    </row>
    <row r="786" ht="15.75" customHeight="1">
      <c r="A786" s="84"/>
      <c r="B786" s="84"/>
      <c r="C786" s="84"/>
      <c r="E786" s="84"/>
      <c r="G786" s="84"/>
    </row>
    <row r="787" ht="15.75" customHeight="1">
      <c r="A787" s="84"/>
      <c r="B787" s="84"/>
      <c r="C787" s="84"/>
      <c r="E787" s="84"/>
      <c r="G787" s="84"/>
    </row>
    <row r="788" ht="15.75" customHeight="1">
      <c r="A788" s="84"/>
      <c r="B788" s="84"/>
      <c r="C788" s="84"/>
      <c r="E788" s="84"/>
      <c r="G788" s="84"/>
    </row>
    <row r="789" ht="15.75" customHeight="1">
      <c r="A789" s="84"/>
      <c r="B789" s="84"/>
      <c r="C789" s="84"/>
      <c r="E789" s="84"/>
      <c r="G789" s="84"/>
    </row>
    <row r="790" ht="15.75" customHeight="1">
      <c r="A790" s="84"/>
      <c r="B790" s="84"/>
      <c r="C790" s="84"/>
      <c r="E790" s="84"/>
      <c r="G790" s="84"/>
    </row>
    <row r="791" ht="15.75" customHeight="1">
      <c r="A791" s="84"/>
      <c r="B791" s="84"/>
      <c r="C791" s="84"/>
      <c r="E791" s="84"/>
      <c r="G791" s="84"/>
    </row>
    <row r="792" ht="15.75" customHeight="1">
      <c r="A792" s="84"/>
      <c r="B792" s="84"/>
      <c r="C792" s="84"/>
      <c r="E792" s="84"/>
      <c r="G792" s="84"/>
    </row>
    <row r="793" ht="15.75" customHeight="1">
      <c r="A793" s="84"/>
      <c r="B793" s="84"/>
      <c r="C793" s="84"/>
      <c r="E793" s="84"/>
      <c r="G793" s="84"/>
    </row>
    <row r="794" ht="15.75" customHeight="1">
      <c r="A794" s="84"/>
      <c r="B794" s="84"/>
      <c r="C794" s="84"/>
      <c r="E794" s="84"/>
      <c r="G794" s="84"/>
    </row>
    <row r="795" ht="15.75" customHeight="1">
      <c r="A795" s="84"/>
      <c r="B795" s="84"/>
      <c r="C795" s="84"/>
      <c r="E795" s="84"/>
      <c r="G795" s="84"/>
    </row>
    <row r="796" ht="15.75" customHeight="1">
      <c r="A796" s="84"/>
      <c r="B796" s="84"/>
      <c r="C796" s="84"/>
      <c r="E796" s="84"/>
      <c r="G796" s="84"/>
    </row>
    <row r="797" ht="15.75" customHeight="1">
      <c r="A797" s="84"/>
      <c r="B797" s="84"/>
      <c r="C797" s="84"/>
      <c r="E797" s="84"/>
      <c r="G797" s="84"/>
    </row>
    <row r="798" ht="15.75" customHeight="1">
      <c r="A798" s="84"/>
      <c r="B798" s="84"/>
      <c r="C798" s="84"/>
      <c r="E798" s="84"/>
      <c r="G798" s="84"/>
    </row>
    <row r="799" ht="15.75" customHeight="1">
      <c r="A799" s="84"/>
      <c r="B799" s="84"/>
      <c r="C799" s="84"/>
      <c r="E799" s="84"/>
      <c r="G799" s="84"/>
    </row>
    <row r="800" ht="15.75" customHeight="1">
      <c r="A800" s="84"/>
      <c r="B800" s="84"/>
      <c r="C800" s="84"/>
      <c r="E800" s="84"/>
      <c r="G800" s="84"/>
    </row>
    <row r="801" ht="15.75" customHeight="1">
      <c r="A801" s="84"/>
      <c r="B801" s="84"/>
      <c r="C801" s="84"/>
      <c r="E801" s="84"/>
      <c r="G801" s="84"/>
    </row>
    <row r="802" ht="15.75" customHeight="1">
      <c r="A802" s="84"/>
      <c r="B802" s="84"/>
      <c r="C802" s="84"/>
      <c r="E802" s="84"/>
      <c r="G802" s="84"/>
    </row>
    <row r="803" ht="15.75" customHeight="1">
      <c r="A803" s="84"/>
      <c r="B803" s="84"/>
      <c r="C803" s="84"/>
      <c r="E803" s="84"/>
      <c r="G803" s="84"/>
    </row>
    <row r="804" ht="15.75" customHeight="1">
      <c r="A804" s="84"/>
      <c r="B804" s="84"/>
      <c r="C804" s="84"/>
      <c r="E804" s="84"/>
      <c r="G804" s="84"/>
    </row>
    <row r="805" ht="15.75" customHeight="1">
      <c r="A805" s="84"/>
      <c r="B805" s="84"/>
      <c r="C805" s="84"/>
      <c r="E805" s="84"/>
      <c r="G805" s="84"/>
    </row>
    <row r="806" ht="15.75" customHeight="1">
      <c r="A806" s="84"/>
      <c r="B806" s="84"/>
      <c r="C806" s="84"/>
      <c r="E806" s="84"/>
      <c r="G806" s="84"/>
    </row>
    <row r="807" ht="15.75" customHeight="1">
      <c r="A807" s="84"/>
      <c r="B807" s="84"/>
      <c r="C807" s="84"/>
      <c r="E807" s="84"/>
      <c r="G807" s="84"/>
    </row>
    <row r="808" ht="15.75" customHeight="1">
      <c r="A808" s="84"/>
      <c r="B808" s="84"/>
      <c r="C808" s="84"/>
      <c r="E808" s="84"/>
      <c r="G808" s="84"/>
    </row>
    <row r="809" ht="15.75" customHeight="1">
      <c r="A809" s="84"/>
      <c r="B809" s="84"/>
      <c r="C809" s="84"/>
      <c r="E809" s="84"/>
      <c r="G809" s="84"/>
    </row>
    <row r="810" ht="15.75" customHeight="1">
      <c r="A810" s="84"/>
      <c r="B810" s="84"/>
      <c r="C810" s="84"/>
      <c r="E810" s="84"/>
      <c r="G810" s="84"/>
    </row>
    <row r="811" ht="15.75" customHeight="1">
      <c r="A811" s="84"/>
      <c r="B811" s="84"/>
      <c r="C811" s="84"/>
      <c r="E811" s="84"/>
      <c r="G811" s="84"/>
    </row>
    <row r="812" ht="15.75" customHeight="1">
      <c r="A812" s="84"/>
      <c r="B812" s="84"/>
      <c r="C812" s="84"/>
      <c r="E812" s="84"/>
      <c r="G812" s="84"/>
    </row>
    <row r="813" ht="15.75" customHeight="1">
      <c r="A813" s="84"/>
      <c r="B813" s="84"/>
      <c r="C813" s="84"/>
      <c r="E813" s="84"/>
      <c r="G813" s="84"/>
    </row>
    <row r="814" ht="15.75" customHeight="1">
      <c r="A814" s="84"/>
      <c r="B814" s="84"/>
      <c r="C814" s="84"/>
      <c r="E814" s="84"/>
      <c r="G814" s="84"/>
    </row>
    <row r="815" ht="15.75" customHeight="1">
      <c r="A815" s="84"/>
      <c r="B815" s="84"/>
      <c r="C815" s="84"/>
      <c r="E815" s="84"/>
      <c r="G815" s="84"/>
    </row>
    <row r="816" ht="15.75" customHeight="1">
      <c r="A816" s="84"/>
      <c r="B816" s="84"/>
      <c r="C816" s="84"/>
      <c r="E816" s="84"/>
      <c r="G816" s="84"/>
    </row>
    <row r="817" ht="15.75" customHeight="1">
      <c r="A817" s="84"/>
      <c r="B817" s="84"/>
      <c r="C817" s="84"/>
      <c r="E817" s="84"/>
      <c r="G817" s="84"/>
    </row>
    <row r="818" ht="15.75" customHeight="1">
      <c r="A818" s="84"/>
      <c r="B818" s="84"/>
      <c r="C818" s="84"/>
      <c r="E818" s="84"/>
      <c r="G818" s="84"/>
    </row>
    <row r="819" ht="15.75" customHeight="1">
      <c r="A819" s="84"/>
      <c r="B819" s="84"/>
      <c r="C819" s="84"/>
      <c r="E819" s="84"/>
      <c r="G819" s="84"/>
    </row>
    <row r="820" ht="15.75" customHeight="1">
      <c r="A820" s="84"/>
      <c r="B820" s="84"/>
      <c r="C820" s="84"/>
      <c r="E820" s="84"/>
      <c r="G820" s="84"/>
    </row>
    <row r="821" ht="15.75" customHeight="1">
      <c r="A821" s="84"/>
      <c r="B821" s="84"/>
      <c r="C821" s="84"/>
      <c r="E821" s="84"/>
      <c r="G821" s="84"/>
    </row>
    <row r="822" ht="15.75" customHeight="1">
      <c r="A822" s="84"/>
      <c r="B822" s="84"/>
      <c r="C822" s="84"/>
      <c r="E822" s="84"/>
      <c r="G822" s="84"/>
    </row>
    <row r="823" ht="15.75" customHeight="1">
      <c r="A823" s="84"/>
      <c r="B823" s="84"/>
      <c r="C823" s="84"/>
      <c r="E823" s="84"/>
      <c r="G823" s="84"/>
    </row>
    <row r="824" ht="15.75" customHeight="1">
      <c r="A824" s="84"/>
      <c r="B824" s="84"/>
      <c r="C824" s="84"/>
      <c r="E824" s="84"/>
      <c r="G824" s="84"/>
    </row>
    <row r="825" ht="15.75" customHeight="1">
      <c r="A825" s="84"/>
      <c r="B825" s="84"/>
      <c r="C825" s="84"/>
      <c r="E825" s="84"/>
      <c r="G825" s="84"/>
    </row>
    <row r="826" ht="15.75" customHeight="1">
      <c r="A826" s="84"/>
      <c r="B826" s="84"/>
      <c r="C826" s="84"/>
      <c r="E826" s="84"/>
      <c r="G826" s="84"/>
    </row>
    <row r="827" ht="15.75" customHeight="1">
      <c r="A827" s="84"/>
      <c r="B827" s="84"/>
      <c r="C827" s="84"/>
      <c r="E827" s="84"/>
      <c r="G827" s="84"/>
    </row>
    <row r="828" ht="15.75" customHeight="1">
      <c r="A828" s="84"/>
      <c r="B828" s="84"/>
      <c r="C828" s="84"/>
      <c r="E828" s="84"/>
      <c r="G828" s="84"/>
    </row>
    <row r="829" ht="15.75" customHeight="1">
      <c r="A829" s="84"/>
      <c r="B829" s="84"/>
      <c r="C829" s="84"/>
      <c r="E829" s="84"/>
      <c r="G829" s="84"/>
    </row>
    <row r="830" ht="15.75" customHeight="1">
      <c r="A830" s="84"/>
      <c r="B830" s="84"/>
      <c r="C830" s="84"/>
      <c r="E830" s="84"/>
      <c r="G830" s="84"/>
    </row>
    <row r="831" ht="15.75" customHeight="1">
      <c r="A831" s="84"/>
      <c r="B831" s="84"/>
      <c r="C831" s="84"/>
      <c r="E831" s="84"/>
      <c r="G831" s="84"/>
    </row>
    <row r="832" ht="15.75" customHeight="1">
      <c r="A832" s="84"/>
      <c r="B832" s="84"/>
      <c r="C832" s="84"/>
      <c r="E832" s="84"/>
      <c r="G832" s="84"/>
    </row>
    <row r="833" ht="15.75" customHeight="1">
      <c r="A833" s="84"/>
      <c r="B833" s="84"/>
      <c r="C833" s="84"/>
      <c r="E833" s="84"/>
      <c r="G833" s="84"/>
    </row>
    <row r="834" ht="15.75" customHeight="1">
      <c r="A834" s="84"/>
      <c r="B834" s="84"/>
      <c r="C834" s="84"/>
      <c r="E834" s="84"/>
      <c r="G834" s="84"/>
    </row>
    <row r="835" ht="15.75" customHeight="1">
      <c r="A835" s="84"/>
      <c r="B835" s="84"/>
      <c r="C835" s="84"/>
      <c r="E835" s="84"/>
      <c r="G835" s="84"/>
    </row>
    <row r="836" ht="15.75" customHeight="1">
      <c r="A836" s="84"/>
      <c r="B836" s="84"/>
      <c r="C836" s="84"/>
      <c r="E836" s="84"/>
      <c r="G836" s="84"/>
    </row>
    <row r="837" ht="15.75" customHeight="1">
      <c r="A837" s="84"/>
      <c r="B837" s="84"/>
      <c r="C837" s="84"/>
      <c r="E837" s="84"/>
      <c r="G837" s="84"/>
    </row>
    <row r="838" ht="15.75" customHeight="1">
      <c r="A838" s="84"/>
      <c r="B838" s="84"/>
      <c r="C838" s="84"/>
      <c r="E838" s="84"/>
      <c r="G838" s="84"/>
    </row>
    <row r="839" ht="15.75" customHeight="1">
      <c r="A839" s="84"/>
      <c r="B839" s="84"/>
      <c r="C839" s="84"/>
      <c r="E839" s="84"/>
      <c r="G839" s="84"/>
    </row>
    <row r="840" ht="15.75" customHeight="1">
      <c r="A840" s="84"/>
      <c r="B840" s="84"/>
      <c r="C840" s="84"/>
      <c r="E840" s="84"/>
      <c r="G840" s="84"/>
    </row>
    <row r="841" ht="15.75" customHeight="1">
      <c r="A841" s="84"/>
      <c r="B841" s="84"/>
      <c r="C841" s="84"/>
      <c r="E841" s="84"/>
      <c r="G841" s="84"/>
    </row>
    <row r="842" ht="15.75" customHeight="1">
      <c r="A842" s="84"/>
      <c r="B842" s="84"/>
      <c r="C842" s="84"/>
      <c r="E842" s="84"/>
      <c r="G842" s="84"/>
    </row>
    <row r="843" ht="15.75" customHeight="1">
      <c r="A843" s="84"/>
      <c r="B843" s="84"/>
      <c r="C843" s="84"/>
      <c r="E843" s="84"/>
      <c r="G843" s="84"/>
    </row>
    <row r="844" ht="15.75" customHeight="1">
      <c r="A844" s="84"/>
      <c r="B844" s="84"/>
      <c r="C844" s="84"/>
      <c r="E844" s="84"/>
      <c r="G844" s="84"/>
    </row>
    <row r="845" ht="15.75" customHeight="1">
      <c r="A845" s="84"/>
      <c r="B845" s="84"/>
      <c r="C845" s="84"/>
      <c r="E845" s="84"/>
      <c r="G845" s="84"/>
    </row>
    <row r="846" ht="15.75" customHeight="1">
      <c r="A846" s="84"/>
      <c r="B846" s="84"/>
      <c r="C846" s="84"/>
      <c r="E846" s="84"/>
      <c r="G846" s="84"/>
    </row>
    <row r="847" ht="15.75" customHeight="1">
      <c r="A847" s="84"/>
      <c r="B847" s="84"/>
      <c r="C847" s="84"/>
      <c r="E847" s="84"/>
      <c r="G847" s="84"/>
    </row>
    <row r="848" ht="15.75" customHeight="1">
      <c r="A848" s="84"/>
      <c r="B848" s="84"/>
      <c r="C848" s="84"/>
      <c r="E848" s="84"/>
      <c r="G848" s="84"/>
    </row>
    <row r="849" ht="15.75" customHeight="1">
      <c r="A849" s="84"/>
      <c r="B849" s="84"/>
      <c r="C849" s="84"/>
      <c r="E849" s="84"/>
      <c r="G849" s="84"/>
    </row>
    <row r="850" ht="15.75" customHeight="1">
      <c r="A850" s="84"/>
      <c r="B850" s="84"/>
      <c r="C850" s="84"/>
      <c r="E850" s="84"/>
      <c r="G850" s="84"/>
    </row>
    <row r="851" ht="15.75" customHeight="1">
      <c r="A851" s="84"/>
      <c r="B851" s="84"/>
      <c r="C851" s="84"/>
      <c r="E851" s="84"/>
      <c r="G851" s="84"/>
    </row>
    <row r="852" ht="15.75" customHeight="1">
      <c r="A852" s="84"/>
      <c r="B852" s="84"/>
      <c r="C852" s="84"/>
      <c r="E852" s="84"/>
      <c r="G852" s="84"/>
    </row>
    <row r="853" ht="15.75" customHeight="1">
      <c r="A853" s="84"/>
      <c r="B853" s="84"/>
      <c r="C853" s="84"/>
      <c r="E853" s="84"/>
      <c r="G853" s="84"/>
    </row>
    <row r="854" ht="15.75" customHeight="1">
      <c r="A854" s="84"/>
      <c r="B854" s="84"/>
      <c r="C854" s="84"/>
      <c r="E854" s="84"/>
      <c r="G854" s="84"/>
    </row>
    <row r="855" ht="15.75" customHeight="1">
      <c r="A855" s="84"/>
      <c r="B855" s="84"/>
      <c r="C855" s="84"/>
      <c r="E855" s="84"/>
      <c r="G855" s="84"/>
    </row>
    <row r="856" ht="15.75" customHeight="1">
      <c r="A856" s="84"/>
      <c r="B856" s="84"/>
      <c r="C856" s="84"/>
      <c r="E856" s="84"/>
      <c r="G856" s="84"/>
    </row>
    <row r="857" ht="15.75" customHeight="1">
      <c r="A857" s="84"/>
      <c r="B857" s="84"/>
      <c r="C857" s="84"/>
      <c r="E857" s="84"/>
      <c r="G857" s="84"/>
    </row>
    <row r="858" ht="15.75" customHeight="1">
      <c r="A858" s="84"/>
      <c r="B858" s="84"/>
      <c r="C858" s="84"/>
      <c r="E858" s="84"/>
      <c r="G858" s="84"/>
    </row>
    <row r="859" ht="15.75" customHeight="1">
      <c r="A859" s="84"/>
      <c r="B859" s="84"/>
      <c r="C859" s="84"/>
      <c r="E859" s="84"/>
      <c r="G859" s="84"/>
    </row>
    <row r="860" ht="15.75" customHeight="1">
      <c r="A860" s="84"/>
      <c r="B860" s="84"/>
      <c r="C860" s="84"/>
      <c r="E860" s="84"/>
      <c r="G860" s="84"/>
    </row>
    <row r="861" ht="15.75" customHeight="1">
      <c r="A861" s="84"/>
      <c r="B861" s="84"/>
      <c r="C861" s="84"/>
      <c r="E861" s="84"/>
      <c r="G861" s="84"/>
    </row>
    <row r="862" ht="15.75" customHeight="1">
      <c r="A862" s="84"/>
      <c r="B862" s="84"/>
      <c r="C862" s="84"/>
      <c r="E862" s="84"/>
      <c r="G862" s="84"/>
    </row>
    <row r="863" ht="15.75" customHeight="1">
      <c r="A863" s="84"/>
      <c r="B863" s="84"/>
      <c r="C863" s="84"/>
      <c r="E863" s="84"/>
      <c r="G863" s="84"/>
    </row>
    <row r="864" ht="15.75" customHeight="1">
      <c r="A864" s="84"/>
      <c r="B864" s="84"/>
      <c r="C864" s="84"/>
      <c r="E864" s="84"/>
      <c r="G864" s="84"/>
    </row>
    <row r="865" ht="15.75" customHeight="1">
      <c r="A865" s="84"/>
      <c r="B865" s="84"/>
      <c r="C865" s="84"/>
      <c r="E865" s="84"/>
      <c r="G865" s="84"/>
    </row>
    <row r="866" ht="15.75" customHeight="1">
      <c r="A866" s="84"/>
      <c r="B866" s="84"/>
      <c r="C866" s="84"/>
      <c r="E866" s="84"/>
      <c r="G866" s="84"/>
    </row>
    <row r="867" ht="15.75" customHeight="1">
      <c r="A867" s="84"/>
      <c r="B867" s="84"/>
      <c r="C867" s="84"/>
      <c r="E867" s="84"/>
      <c r="G867" s="84"/>
    </row>
    <row r="868" ht="15.75" customHeight="1">
      <c r="A868" s="84"/>
      <c r="B868" s="84"/>
      <c r="C868" s="84"/>
      <c r="E868" s="84"/>
      <c r="G868" s="84"/>
    </row>
    <row r="869" ht="15.75" customHeight="1">
      <c r="A869" s="84"/>
      <c r="B869" s="84"/>
      <c r="C869" s="84"/>
      <c r="E869" s="84"/>
      <c r="G869" s="84"/>
    </row>
    <row r="870" ht="15.75" customHeight="1">
      <c r="A870" s="84"/>
      <c r="B870" s="84"/>
      <c r="C870" s="84"/>
      <c r="E870" s="84"/>
      <c r="G870" s="84"/>
    </row>
    <row r="871" ht="15.75" customHeight="1">
      <c r="A871" s="84"/>
      <c r="B871" s="84"/>
      <c r="C871" s="84"/>
      <c r="E871" s="84"/>
      <c r="G871" s="84"/>
    </row>
    <row r="872" ht="15.75" customHeight="1">
      <c r="A872" s="84"/>
      <c r="B872" s="84"/>
      <c r="C872" s="84"/>
      <c r="E872" s="84"/>
      <c r="G872" s="84"/>
    </row>
    <row r="873" ht="15.75" customHeight="1">
      <c r="A873" s="84"/>
      <c r="B873" s="84"/>
      <c r="C873" s="84"/>
      <c r="E873" s="84"/>
      <c r="G873" s="84"/>
    </row>
    <row r="874" ht="15.75" customHeight="1">
      <c r="A874" s="84"/>
      <c r="B874" s="84"/>
      <c r="C874" s="84"/>
      <c r="E874" s="84"/>
      <c r="G874" s="84"/>
    </row>
    <row r="875" ht="15.75" customHeight="1">
      <c r="A875" s="84"/>
      <c r="B875" s="84"/>
      <c r="C875" s="84"/>
      <c r="E875" s="84"/>
      <c r="G875" s="84"/>
    </row>
    <row r="876" ht="15.75" customHeight="1">
      <c r="A876" s="84"/>
      <c r="B876" s="84"/>
      <c r="C876" s="84"/>
      <c r="E876" s="84"/>
      <c r="G876" s="84"/>
    </row>
    <row r="877" ht="15.75" customHeight="1">
      <c r="A877" s="84"/>
      <c r="B877" s="84"/>
      <c r="C877" s="84"/>
      <c r="E877" s="84"/>
      <c r="G877" s="84"/>
    </row>
    <row r="878" ht="15.75" customHeight="1">
      <c r="A878" s="84"/>
      <c r="B878" s="84"/>
      <c r="C878" s="84"/>
      <c r="E878" s="84"/>
      <c r="G878" s="84"/>
    </row>
    <row r="879" ht="15.75" customHeight="1">
      <c r="A879" s="84"/>
      <c r="B879" s="84"/>
      <c r="C879" s="84"/>
      <c r="E879" s="84"/>
      <c r="G879" s="84"/>
    </row>
    <row r="880" ht="15.75" customHeight="1">
      <c r="A880" s="84"/>
      <c r="B880" s="84"/>
      <c r="C880" s="84"/>
      <c r="E880" s="84"/>
      <c r="G880" s="84"/>
    </row>
    <row r="881" ht="15.75" customHeight="1">
      <c r="A881" s="84"/>
      <c r="B881" s="84"/>
      <c r="C881" s="84"/>
      <c r="E881" s="84"/>
      <c r="G881" s="84"/>
    </row>
    <row r="882" ht="15.75" customHeight="1">
      <c r="A882" s="84"/>
      <c r="B882" s="84"/>
      <c r="C882" s="84"/>
      <c r="E882" s="84"/>
      <c r="G882" s="84"/>
    </row>
    <row r="883" ht="15.75" customHeight="1">
      <c r="A883" s="84"/>
      <c r="B883" s="84"/>
      <c r="C883" s="84"/>
      <c r="E883" s="84"/>
      <c r="G883" s="84"/>
    </row>
    <row r="884" ht="15.75" customHeight="1">
      <c r="A884" s="84"/>
      <c r="B884" s="84"/>
      <c r="C884" s="84"/>
      <c r="E884" s="84"/>
      <c r="G884" s="84"/>
    </row>
    <row r="885" ht="15.75" customHeight="1">
      <c r="A885" s="84"/>
      <c r="B885" s="84"/>
      <c r="C885" s="84"/>
      <c r="E885" s="84"/>
      <c r="G885" s="84"/>
    </row>
    <row r="886" ht="15.75" customHeight="1">
      <c r="A886" s="84"/>
      <c r="B886" s="84"/>
      <c r="C886" s="84"/>
      <c r="E886" s="84"/>
      <c r="G886" s="84"/>
    </row>
    <row r="887" ht="15.75" customHeight="1">
      <c r="A887" s="84"/>
      <c r="B887" s="84"/>
      <c r="C887" s="84"/>
      <c r="E887" s="84"/>
      <c r="G887" s="84"/>
    </row>
    <row r="888" ht="15.75" customHeight="1">
      <c r="A888" s="84"/>
      <c r="B888" s="84"/>
      <c r="C888" s="84"/>
      <c r="E888" s="84"/>
      <c r="G888" s="84"/>
    </row>
    <row r="889" ht="15.75" customHeight="1">
      <c r="A889" s="84"/>
      <c r="B889" s="84"/>
      <c r="C889" s="84"/>
      <c r="E889" s="84"/>
      <c r="G889" s="84"/>
    </row>
    <row r="890" ht="15.75" customHeight="1">
      <c r="A890" s="84"/>
      <c r="B890" s="84"/>
      <c r="C890" s="84"/>
      <c r="E890" s="84"/>
      <c r="G890" s="84"/>
    </row>
    <row r="891" ht="15.75" customHeight="1">
      <c r="A891" s="84"/>
      <c r="B891" s="84"/>
      <c r="C891" s="84"/>
      <c r="E891" s="84"/>
      <c r="G891" s="84"/>
    </row>
    <row r="892" ht="15.75" customHeight="1">
      <c r="A892" s="84"/>
      <c r="B892" s="84"/>
      <c r="C892" s="84"/>
      <c r="E892" s="84"/>
      <c r="G892" s="84"/>
    </row>
    <row r="893" ht="15.75" customHeight="1">
      <c r="A893" s="84"/>
      <c r="B893" s="84"/>
      <c r="C893" s="84"/>
      <c r="E893" s="84"/>
      <c r="G893" s="84"/>
    </row>
    <row r="894" ht="15.75" customHeight="1">
      <c r="A894" s="84"/>
      <c r="B894" s="84"/>
      <c r="C894" s="84"/>
      <c r="E894" s="84"/>
      <c r="G894" s="84"/>
    </row>
    <row r="895" ht="15.75" customHeight="1">
      <c r="A895" s="84"/>
      <c r="B895" s="84"/>
      <c r="C895" s="84"/>
      <c r="E895" s="84"/>
      <c r="G895" s="84"/>
    </row>
    <row r="896" ht="15.75" customHeight="1">
      <c r="A896" s="84"/>
      <c r="B896" s="84"/>
      <c r="C896" s="84"/>
      <c r="E896" s="84"/>
      <c r="G896" s="84"/>
    </row>
    <row r="897" ht="15.75" customHeight="1">
      <c r="A897" s="84"/>
      <c r="B897" s="84"/>
      <c r="C897" s="84"/>
      <c r="E897" s="84"/>
      <c r="G897" s="84"/>
    </row>
    <row r="898" ht="15.75" customHeight="1">
      <c r="A898" s="84"/>
      <c r="B898" s="84"/>
      <c r="C898" s="84"/>
      <c r="E898" s="84"/>
      <c r="G898" s="84"/>
    </row>
    <row r="899" ht="15.75" customHeight="1">
      <c r="A899" s="84"/>
      <c r="B899" s="84"/>
      <c r="C899" s="84"/>
      <c r="E899" s="84"/>
      <c r="G899" s="84"/>
    </row>
    <row r="900" ht="15.75" customHeight="1">
      <c r="A900" s="84"/>
      <c r="B900" s="84"/>
      <c r="C900" s="84"/>
      <c r="E900" s="84"/>
      <c r="G900" s="84"/>
    </row>
    <row r="901" ht="15.75" customHeight="1">
      <c r="A901" s="84"/>
      <c r="B901" s="84"/>
      <c r="C901" s="84"/>
      <c r="E901" s="84"/>
      <c r="G901" s="84"/>
    </row>
    <row r="902" ht="15.75" customHeight="1">
      <c r="A902" s="84"/>
      <c r="B902" s="84"/>
      <c r="C902" s="84"/>
      <c r="E902" s="84"/>
      <c r="G902" s="84"/>
    </row>
    <row r="903" ht="15.75" customHeight="1">
      <c r="A903" s="84"/>
      <c r="B903" s="84"/>
      <c r="C903" s="84"/>
      <c r="E903" s="84"/>
      <c r="G903" s="84"/>
    </row>
    <row r="904" ht="15.75" customHeight="1">
      <c r="A904" s="84"/>
      <c r="B904" s="84"/>
      <c r="C904" s="84"/>
      <c r="E904" s="84"/>
      <c r="G904" s="84"/>
    </row>
    <row r="905" ht="15.75" customHeight="1">
      <c r="A905" s="84"/>
      <c r="B905" s="84"/>
      <c r="C905" s="84"/>
      <c r="E905" s="84"/>
      <c r="G905" s="84"/>
    </row>
    <row r="906" ht="15.75" customHeight="1">
      <c r="A906" s="84"/>
      <c r="B906" s="84"/>
      <c r="C906" s="84"/>
      <c r="E906" s="84"/>
      <c r="G906" s="84"/>
    </row>
    <row r="907" ht="15.75" customHeight="1">
      <c r="A907" s="84"/>
      <c r="B907" s="84"/>
      <c r="C907" s="84"/>
      <c r="E907" s="84"/>
      <c r="G907" s="84"/>
    </row>
    <row r="908" ht="15.75" customHeight="1">
      <c r="A908" s="84"/>
      <c r="B908" s="84"/>
      <c r="C908" s="84"/>
      <c r="E908" s="84"/>
      <c r="G908" s="84"/>
    </row>
    <row r="909" ht="15.75" customHeight="1">
      <c r="A909" s="84"/>
      <c r="B909" s="84"/>
      <c r="C909" s="84"/>
      <c r="E909" s="84"/>
      <c r="G909" s="84"/>
    </row>
    <row r="910" ht="15.75" customHeight="1">
      <c r="A910" s="84"/>
      <c r="B910" s="84"/>
      <c r="C910" s="84"/>
      <c r="E910" s="84"/>
      <c r="G910" s="84"/>
    </row>
    <row r="911" ht="15.75" customHeight="1">
      <c r="A911" s="84"/>
      <c r="B911" s="84"/>
      <c r="C911" s="84"/>
      <c r="E911" s="84"/>
      <c r="G911" s="84"/>
    </row>
    <row r="912" ht="15.75" customHeight="1">
      <c r="A912" s="84"/>
      <c r="B912" s="84"/>
      <c r="C912" s="84"/>
      <c r="E912" s="84"/>
      <c r="G912" s="84"/>
    </row>
    <row r="913" ht="15.75" customHeight="1">
      <c r="A913" s="84"/>
      <c r="B913" s="84"/>
      <c r="C913" s="84"/>
      <c r="E913" s="84"/>
      <c r="G913" s="84"/>
    </row>
    <row r="914" ht="15.75" customHeight="1">
      <c r="A914" s="84"/>
      <c r="B914" s="84"/>
      <c r="C914" s="84"/>
      <c r="E914" s="84"/>
      <c r="G914" s="84"/>
    </row>
    <row r="915" ht="15.75" customHeight="1">
      <c r="A915" s="84"/>
      <c r="B915" s="84"/>
      <c r="C915" s="84"/>
      <c r="E915" s="84"/>
      <c r="G915" s="84"/>
    </row>
    <row r="916" ht="15.75" customHeight="1">
      <c r="A916" s="84"/>
      <c r="B916" s="84"/>
      <c r="C916" s="84"/>
      <c r="E916" s="84"/>
      <c r="G916" s="84"/>
    </row>
    <row r="917" ht="15.75" customHeight="1">
      <c r="A917" s="84"/>
      <c r="B917" s="84"/>
      <c r="C917" s="84"/>
      <c r="E917" s="84"/>
      <c r="G917" s="84"/>
    </row>
    <row r="918" ht="15.75" customHeight="1">
      <c r="A918" s="84"/>
      <c r="B918" s="84"/>
      <c r="C918" s="84"/>
      <c r="E918" s="84"/>
      <c r="G918" s="84"/>
    </row>
    <row r="919" ht="15.75" customHeight="1">
      <c r="A919" s="84"/>
      <c r="B919" s="84"/>
      <c r="C919" s="84"/>
      <c r="E919" s="84"/>
      <c r="G919" s="84"/>
    </row>
    <row r="920" ht="15.75" customHeight="1">
      <c r="A920" s="84"/>
      <c r="B920" s="84"/>
      <c r="C920" s="84"/>
      <c r="E920" s="84"/>
      <c r="G920" s="84"/>
    </row>
    <row r="921" ht="15.75" customHeight="1">
      <c r="A921" s="84"/>
      <c r="B921" s="84"/>
      <c r="C921" s="84"/>
      <c r="E921" s="84"/>
      <c r="G921" s="84"/>
    </row>
    <row r="922" ht="15.75" customHeight="1">
      <c r="A922" s="84"/>
      <c r="B922" s="84"/>
      <c r="C922" s="84"/>
      <c r="E922" s="84"/>
      <c r="G922" s="84"/>
    </row>
    <row r="923" ht="15.75" customHeight="1">
      <c r="A923" s="84"/>
      <c r="B923" s="84"/>
      <c r="C923" s="84"/>
      <c r="E923" s="84"/>
      <c r="G923" s="84"/>
    </row>
    <row r="924" ht="15.75" customHeight="1">
      <c r="A924" s="84"/>
      <c r="B924" s="84"/>
      <c r="C924" s="84"/>
      <c r="E924" s="84"/>
      <c r="G924" s="84"/>
    </row>
    <row r="925" ht="15.75" customHeight="1">
      <c r="A925" s="84"/>
      <c r="B925" s="84"/>
      <c r="C925" s="84"/>
      <c r="E925" s="84"/>
      <c r="G925" s="84"/>
    </row>
    <row r="926" ht="15.75" customHeight="1">
      <c r="A926" s="84"/>
      <c r="B926" s="84"/>
      <c r="C926" s="84"/>
      <c r="E926" s="84"/>
      <c r="G926" s="84"/>
    </row>
    <row r="927" ht="15.75" customHeight="1">
      <c r="A927" s="84"/>
      <c r="B927" s="84"/>
      <c r="C927" s="84"/>
      <c r="E927" s="84"/>
      <c r="G927" s="84"/>
    </row>
    <row r="928" ht="15.75" customHeight="1">
      <c r="A928" s="84"/>
      <c r="B928" s="84"/>
      <c r="C928" s="84"/>
      <c r="E928" s="84"/>
      <c r="G928" s="84"/>
    </row>
    <row r="929" ht="15.75" customHeight="1">
      <c r="A929" s="84"/>
      <c r="B929" s="84"/>
      <c r="C929" s="84"/>
      <c r="E929" s="84"/>
      <c r="G929" s="84"/>
    </row>
    <row r="930" ht="15.75" customHeight="1">
      <c r="A930" s="84"/>
      <c r="B930" s="84"/>
      <c r="C930" s="84"/>
      <c r="E930" s="84"/>
      <c r="G930" s="84"/>
    </row>
    <row r="931" ht="15.75" customHeight="1">
      <c r="A931" s="84"/>
      <c r="B931" s="84"/>
      <c r="C931" s="84"/>
      <c r="E931" s="84"/>
      <c r="G931" s="84"/>
    </row>
    <row r="932" ht="15.75" customHeight="1">
      <c r="A932" s="84"/>
      <c r="B932" s="84"/>
      <c r="C932" s="84"/>
      <c r="E932" s="84"/>
      <c r="G932" s="84"/>
    </row>
    <row r="933" ht="15.75" customHeight="1">
      <c r="A933" s="84"/>
      <c r="B933" s="84"/>
      <c r="C933" s="84"/>
      <c r="E933" s="84"/>
      <c r="G933" s="84"/>
    </row>
    <row r="934" ht="15.75" customHeight="1">
      <c r="A934" s="84"/>
      <c r="B934" s="84"/>
      <c r="C934" s="84"/>
      <c r="E934" s="84"/>
      <c r="G934" s="84"/>
    </row>
    <row r="935" ht="15.75" customHeight="1">
      <c r="A935" s="84"/>
      <c r="B935" s="84"/>
      <c r="C935" s="84"/>
      <c r="E935" s="84"/>
      <c r="G935" s="84"/>
    </row>
    <row r="936" ht="15.75" customHeight="1">
      <c r="A936" s="84"/>
      <c r="B936" s="84"/>
      <c r="C936" s="84"/>
      <c r="E936" s="84"/>
      <c r="G936" s="84"/>
    </row>
    <row r="937" ht="15.75" customHeight="1">
      <c r="A937" s="84"/>
      <c r="B937" s="84"/>
      <c r="C937" s="84"/>
      <c r="E937" s="84"/>
      <c r="G937" s="84"/>
    </row>
    <row r="938" ht="15.75" customHeight="1">
      <c r="A938" s="84"/>
      <c r="B938" s="84"/>
      <c r="C938" s="84"/>
      <c r="E938" s="84"/>
      <c r="G938" s="84"/>
    </row>
    <row r="939" ht="15.75" customHeight="1">
      <c r="A939" s="84"/>
      <c r="B939" s="84"/>
      <c r="C939" s="84"/>
      <c r="E939" s="84"/>
      <c r="G939" s="84"/>
    </row>
    <row r="940" ht="15.75" customHeight="1">
      <c r="A940" s="84"/>
      <c r="B940" s="84"/>
      <c r="C940" s="84"/>
      <c r="E940" s="84"/>
      <c r="G940" s="84"/>
    </row>
    <row r="941" ht="15.75" customHeight="1">
      <c r="A941" s="84"/>
      <c r="B941" s="84"/>
      <c r="C941" s="84"/>
      <c r="E941" s="84"/>
      <c r="G941" s="84"/>
    </row>
    <row r="942" ht="15.75" customHeight="1">
      <c r="A942" s="84"/>
      <c r="B942" s="84"/>
      <c r="C942" s="84"/>
      <c r="E942" s="84"/>
      <c r="G942" s="84"/>
    </row>
    <row r="943" ht="15.75" customHeight="1">
      <c r="A943" s="84"/>
      <c r="B943" s="84"/>
      <c r="C943" s="84"/>
      <c r="E943" s="84"/>
      <c r="G943" s="84"/>
    </row>
    <row r="944" ht="15.75" customHeight="1">
      <c r="A944" s="84"/>
      <c r="B944" s="84"/>
      <c r="C944" s="84"/>
      <c r="E944" s="84"/>
      <c r="G944" s="84"/>
    </row>
    <row r="945" ht="15.75" customHeight="1">
      <c r="A945" s="84"/>
      <c r="B945" s="84"/>
      <c r="C945" s="84"/>
      <c r="E945" s="84"/>
      <c r="G945" s="84"/>
    </row>
    <row r="946" ht="15.75" customHeight="1">
      <c r="A946" s="84"/>
      <c r="B946" s="84"/>
      <c r="C946" s="84"/>
      <c r="E946" s="84"/>
      <c r="G946" s="84"/>
    </row>
    <row r="947" ht="15.75" customHeight="1">
      <c r="A947" s="84"/>
      <c r="B947" s="84"/>
      <c r="C947" s="84"/>
      <c r="E947" s="84"/>
      <c r="G947" s="84"/>
    </row>
    <row r="948" ht="15.75" customHeight="1">
      <c r="A948" s="84"/>
      <c r="B948" s="84"/>
      <c r="C948" s="84"/>
      <c r="E948" s="84"/>
      <c r="G948" s="84"/>
    </row>
    <row r="949" ht="15.75" customHeight="1">
      <c r="A949" s="84"/>
      <c r="B949" s="84"/>
      <c r="C949" s="84"/>
      <c r="E949" s="84"/>
      <c r="G949" s="84"/>
    </row>
    <row r="950" ht="15.75" customHeight="1">
      <c r="A950" s="84"/>
      <c r="B950" s="84"/>
      <c r="C950" s="84"/>
      <c r="E950" s="84"/>
      <c r="G950" s="84"/>
    </row>
    <row r="951" ht="15.75" customHeight="1">
      <c r="A951" s="84"/>
      <c r="B951" s="84"/>
      <c r="C951" s="84"/>
      <c r="E951" s="84"/>
      <c r="G951" s="84"/>
    </row>
    <row r="952" ht="15.75" customHeight="1">
      <c r="A952" s="84"/>
      <c r="B952" s="84"/>
      <c r="C952" s="84"/>
      <c r="E952" s="84"/>
      <c r="G952" s="84"/>
    </row>
    <row r="953" ht="15.75" customHeight="1">
      <c r="A953" s="84"/>
      <c r="B953" s="84"/>
      <c r="C953" s="84"/>
      <c r="E953" s="84"/>
      <c r="G953" s="84"/>
    </row>
    <row r="954" ht="15.75" customHeight="1">
      <c r="A954" s="84"/>
      <c r="B954" s="84"/>
      <c r="C954" s="84"/>
      <c r="E954" s="84"/>
      <c r="G954" s="84"/>
    </row>
    <row r="955" ht="15.75" customHeight="1">
      <c r="A955" s="84"/>
      <c r="B955" s="84"/>
      <c r="C955" s="84"/>
      <c r="E955" s="84"/>
      <c r="G955" s="84"/>
    </row>
    <row r="956" ht="15.75" customHeight="1">
      <c r="A956" s="84"/>
      <c r="B956" s="84"/>
      <c r="C956" s="84"/>
      <c r="E956" s="84"/>
      <c r="G956" s="84"/>
    </row>
    <row r="957" ht="15.75" customHeight="1">
      <c r="A957" s="84"/>
      <c r="B957" s="84"/>
      <c r="C957" s="84"/>
      <c r="E957" s="84"/>
      <c r="G957" s="84"/>
    </row>
    <row r="958" ht="15.75" customHeight="1">
      <c r="A958" s="84"/>
      <c r="B958" s="84"/>
      <c r="C958" s="84"/>
      <c r="E958" s="84"/>
      <c r="G958" s="84"/>
    </row>
    <row r="959" ht="15.75" customHeight="1">
      <c r="A959" s="84"/>
      <c r="B959" s="84"/>
      <c r="C959" s="84"/>
      <c r="E959" s="84"/>
      <c r="G959" s="84"/>
    </row>
    <row r="960" ht="15.75" customHeight="1">
      <c r="A960" s="84"/>
      <c r="B960" s="84"/>
      <c r="C960" s="84"/>
      <c r="E960" s="84"/>
      <c r="G960" s="84"/>
    </row>
    <row r="961" ht="15.75" customHeight="1">
      <c r="A961" s="84"/>
      <c r="B961" s="84"/>
      <c r="C961" s="84"/>
      <c r="E961" s="84"/>
      <c r="G961" s="84"/>
    </row>
    <row r="962" ht="15.75" customHeight="1">
      <c r="A962" s="84"/>
      <c r="B962" s="84"/>
      <c r="C962" s="84"/>
      <c r="E962" s="84"/>
      <c r="G962" s="84"/>
    </row>
    <row r="963" ht="15.75" customHeight="1">
      <c r="A963" s="84"/>
      <c r="B963" s="84"/>
      <c r="C963" s="84"/>
      <c r="E963" s="84"/>
      <c r="G963" s="84"/>
    </row>
    <row r="964" ht="15.75" customHeight="1">
      <c r="A964" s="84"/>
      <c r="B964" s="84"/>
      <c r="C964" s="84"/>
      <c r="E964" s="84"/>
      <c r="G964" s="84"/>
    </row>
    <row r="965" ht="15.75" customHeight="1">
      <c r="A965" s="84"/>
      <c r="B965" s="84"/>
      <c r="C965" s="84"/>
      <c r="E965" s="84"/>
      <c r="G965" s="84"/>
    </row>
    <row r="966" ht="15.75" customHeight="1">
      <c r="A966" s="84"/>
      <c r="B966" s="84"/>
      <c r="C966" s="84"/>
      <c r="E966" s="84"/>
      <c r="G966" s="84"/>
    </row>
    <row r="967" ht="15.75" customHeight="1">
      <c r="A967" s="84"/>
      <c r="B967" s="84"/>
      <c r="C967" s="84"/>
      <c r="E967" s="84"/>
      <c r="G967" s="84"/>
    </row>
    <row r="968" ht="15.75" customHeight="1">
      <c r="A968" s="84"/>
      <c r="B968" s="84"/>
      <c r="C968" s="84"/>
      <c r="E968" s="84"/>
      <c r="G968" s="84"/>
    </row>
    <row r="969" ht="15.75" customHeight="1">
      <c r="A969" s="84"/>
      <c r="B969" s="84"/>
      <c r="C969" s="84"/>
      <c r="E969" s="84"/>
      <c r="G969" s="84"/>
    </row>
    <row r="970" ht="15.75" customHeight="1">
      <c r="A970" s="84"/>
      <c r="B970" s="84"/>
      <c r="C970" s="84"/>
      <c r="E970" s="84"/>
      <c r="G970" s="84"/>
    </row>
    <row r="971" ht="15.75" customHeight="1">
      <c r="A971" s="84"/>
      <c r="B971" s="84"/>
      <c r="C971" s="84"/>
      <c r="E971" s="84"/>
      <c r="G971" s="84"/>
    </row>
    <row r="972" ht="15.75" customHeight="1">
      <c r="A972" s="84"/>
      <c r="B972" s="84"/>
      <c r="C972" s="84"/>
      <c r="E972" s="84"/>
      <c r="G972" s="84"/>
    </row>
    <row r="973" ht="15.75" customHeight="1">
      <c r="A973" s="84"/>
      <c r="B973" s="84"/>
      <c r="C973" s="84"/>
      <c r="E973" s="84"/>
      <c r="G973" s="84"/>
    </row>
    <row r="974" ht="15.75" customHeight="1">
      <c r="A974" s="84"/>
      <c r="B974" s="84"/>
      <c r="C974" s="84"/>
      <c r="E974" s="84"/>
      <c r="G974" s="84"/>
    </row>
    <row r="975" ht="15.75" customHeight="1">
      <c r="A975" s="84"/>
      <c r="B975" s="84"/>
      <c r="C975" s="84"/>
      <c r="E975" s="84"/>
      <c r="G975" s="84"/>
    </row>
    <row r="976" ht="15.75" customHeight="1">
      <c r="A976" s="84"/>
      <c r="B976" s="84"/>
      <c r="C976" s="84"/>
      <c r="E976" s="84"/>
      <c r="G976" s="84"/>
    </row>
    <row r="977" ht="15.75" customHeight="1">
      <c r="A977" s="84"/>
      <c r="B977" s="84"/>
      <c r="C977" s="84"/>
      <c r="E977" s="84"/>
      <c r="G977" s="84"/>
    </row>
    <row r="978" ht="15.75" customHeight="1">
      <c r="A978" s="84"/>
      <c r="B978" s="84"/>
      <c r="C978" s="84"/>
      <c r="E978" s="84"/>
      <c r="G978" s="84"/>
    </row>
    <row r="979" ht="15.75" customHeight="1">
      <c r="A979" s="84"/>
      <c r="B979" s="84"/>
      <c r="C979" s="84"/>
      <c r="E979" s="84"/>
      <c r="G979" s="84"/>
    </row>
    <row r="980" ht="15.75" customHeight="1">
      <c r="A980" s="84"/>
      <c r="B980" s="84"/>
      <c r="C980" s="84"/>
      <c r="E980" s="84"/>
      <c r="G980" s="84"/>
    </row>
    <row r="981" ht="15.75" customHeight="1">
      <c r="A981" s="84"/>
      <c r="B981" s="84"/>
      <c r="C981" s="84"/>
      <c r="E981" s="84"/>
      <c r="G981" s="84"/>
    </row>
    <row r="982" ht="15.75" customHeight="1">
      <c r="A982" s="84"/>
      <c r="B982" s="84"/>
      <c r="C982" s="84"/>
      <c r="E982" s="84"/>
      <c r="G982" s="84"/>
    </row>
    <row r="983" ht="15.75" customHeight="1">
      <c r="A983" s="84"/>
      <c r="B983" s="84"/>
      <c r="C983" s="84"/>
      <c r="E983" s="84"/>
      <c r="G983" s="84"/>
    </row>
    <row r="984" ht="15.75" customHeight="1">
      <c r="A984" s="84"/>
      <c r="B984" s="84"/>
      <c r="C984" s="84"/>
      <c r="E984" s="84"/>
      <c r="G984" s="84"/>
    </row>
    <row r="985" ht="15.75" customHeight="1">
      <c r="A985" s="84"/>
      <c r="B985" s="84"/>
      <c r="C985" s="84"/>
      <c r="E985" s="84"/>
      <c r="G985" s="84"/>
    </row>
    <row r="986" ht="15.75" customHeight="1">
      <c r="A986" s="84"/>
      <c r="B986" s="84"/>
      <c r="C986" s="84"/>
      <c r="E986" s="84"/>
      <c r="G986" s="84"/>
    </row>
    <row r="987" ht="15.75" customHeight="1">
      <c r="A987" s="84"/>
      <c r="B987" s="84"/>
      <c r="C987" s="84"/>
      <c r="E987" s="84"/>
      <c r="G987" s="84"/>
    </row>
    <row r="988" ht="15.75" customHeight="1">
      <c r="A988" s="84"/>
      <c r="B988" s="84"/>
      <c r="C988" s="84"/>
      <c r="E988" s="84"/>
      <c r="G988" s="84"/>
    </row>
    <row r="989" ht="15.75" customHeight="1">
      <c r="A989" s="84"/>
      <c r="B989" s="84"/>
      <c r="C989" s="84"/>
      <c r="E989" s="84"/>
      <c r="G989" s="84"/>
    </row>
    <row r="990" ht="15.75" customHeight="1">
      <c r="A990" s="84"/>
      <c r="B990" s="84"/>
      <c r="C990" s="84"/>
      <c r="E990" s="84"/>
      <c r="G990" s="84"/>
    </row>
    <row r="991" ht="15.75" customHeight="1">
      <c r="A991" s="84"/>
      <c r="B991" s="84"/>
      <c r="C991" s="84"/>
      <c r="E991" s="84"/>
      <c r="G991" s="84"/>
    </row>
    <row r="992" ht="15.75" customHeight="1">
      <c r="A992" s="84"/>
      <c r="B992" s="84"/>
      <c r="C992" s="84"/>
      <c r="E992" s="84"/>
      <c r="G992" s="84"/>
    </row>
    <row r="993" ht="15.75" customHeight="1">
      <c r="A993" s="84"/>
      <c r="B993" s="84"/>
      <c r="C993" s="84"/>
      <c r="E993" s="84"/>
      <c r="G993" s="84"/>
    </row>
    <row r="994" ht="15.75" customHeight="1">
      <c r="A994" s="84"/>
      <c r="B994" s="84"/>
      <c r="C994" s="84"/>
      <c r="E994" s="84"/>
      <c r="G994" s="84"/>
    </row>
    <row r="995" ht="15.75" customHeight="1">
      <c r="A995" s="84"/>
      <c r="B995" s="84"/>
      <c r="C995" s="84"/>
      <c r="E995" s="84"/>
      <c r="G995" s="84"/>
    </row>
    <row r="996" ht="15.75" customHeight="1">
      <c r="A996" s="84"/>
      <c r="B996" s="84"/>
      <c r="C996" s="84"/>
      <c r="E996" s="84"/>
      <c r="G996" s="84"/>
    </row>
    <row r="997" ht="15.75" customHeight="1">
      <c r="A997" s="84"/>
      <c r="B997" s="84"/>
      <c r="C997" s="84"/>
      <c r="E997" s="84"/>
      <c r="G997" s="84"/>
    </row>
    <row r="998" ht="15.75" customHeight="1">
      <c r="A998" s="84"/>
      <c r="B998" s="84"/>
      <c r="C998" s="84"/>
      <c r="E998" s="84"/>
      <c r="G998" s="84"/>
    </row>
    <row r="999" ht="15.75" customHeight="1">
      <c r="A999" s="84"/>
      <c r="B999" s="84"/>
      <c r="C999" s="84"/>
      <c r="E999" s="84"/>
      <c r="G999" s="84"/>
    </row>
    <row r="1000" ht="15.75" customHeight="1">
      <c r="A1000" s="84"/>
      <c r="B1000" s="84"/>
      <c r="C1000" s="84"/>
      <c r="E1000" s="84"/>
      <c r="G1000" s="84"/>
    </row>
  </sheetData>
  <conditionalFormatting sqref="D3:D5">
    <cfRule type="containsText" dxfId="15" priority="1" operator="containsText" text="Low">
      <formula>NOT(ISERROR(SEARCH(("Low"),(D3))))</formula>
    </cfRule>
  </conditionalFormatting>
  <conditionalFormatting sqref="D3:D5">
    <cfRule type="containsText" dxfId="16" priority="2" operator="containsText" text="Medium">
      <formula>NOT(ISERROR(SEARCH(("Medium"),(D3))))</formula>
    </cfRule>
  </conditionalFormatting>
  <conditionalFormatting sqref="D3:D5">
    <cfRule type="containsText" dxfId="17" priority="3" operator="containsText" text="High">
      <formula>NOT(ISERROR(SEARCH(("High"),(D3))))</formula>
    </cfRule>
  </conditionalFormatting>
  <conditionalFormatting sqref="F3:F11">
    <cfRule type="containsText" dxfId="0" priority="4" operator="containsText" text="Approved">
      <formula>NOT(ISERROR(SEARCH(("Approved"),(F3))))</formula>
    </cfRule>
  </conditionalFormatting>
  <conditionalFormatting sqref="F3:F11">
    <cfRule type="containsText" dxfId="1" priority="5" operator="containsText" text="Needs Review">
      <formula>NOT(ISERROR(SEARCH(("Needs Review"),(F3))))</formula>
    </cfRule>
  </conditionalFormatting>
  <conditionalFormatting sqref="F3:F11">
    <cfRule type="containsText" dxfId="2" priority="6" operator="containsText" text="Not Started">
      <formula>NOT(ISERROR(SEARCH(("Not Started"),(F3))))</formula>
    </cfRule>
  </conditionalFormatting>
  <conditionalFormatting sqref="F3:F11">
    <cfRule type="containsText" dxfId="3" priority="7" operator="containsText" text="On Hold">
      <formula>NOT(ISERROR(SEARCH(("On Hold"),(F3))))</formula>
    </cfRule>
  </conditionalFormatting>
  <conditionalFormatting sqref="F3:F11">
    <cfRule type="containsText" dxfId="4" priority="8" operator="containsText" text="Overdue">
      <formula>NOT(ISERROR(SEARCH(("Overdue"),(F3))))</formula>
    </cfRule>
  </conditionalFormatting>
  <conditionalFormatting sqref="F3:F11">
    <cfRule type="containsText" dxfId="5" priority="9" operator="containsText" text="Complete">
      <formula>NOT(ISERROR(SEARCH(("Complete"),(F3))))</formula>
    </cfRule>
  </conditionalFormatting>
  <conditionalFormatting sqref="F3:F11">
    <cfRule type="containsText" dxfId="6" priority="10" operator="containsText" text="In Progress">
      <formula>NOT(ISERROR(SEARCH(("In Progress"),(F3))))</formula>
    </cfRule>
  </conditionalFormatting>
  <printOptions/>
  <pageMargins bottom="0.75" footer="0.0" header="0.0" left="0.7" right="0.7" top="0.75"/>
  <pageSetup orientation="portrait"/>
  <drawing r:id="rId1"/>
</worksheet>
</file>