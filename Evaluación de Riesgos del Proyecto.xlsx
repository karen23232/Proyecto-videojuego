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TUF\OneDrive\Documentos\1.Universidad\7 Semestre\Diseño\"/>
    </mc:Choice>
  </mc:AlternateContent>
  <xr:revisionPtr revIDLastSave="0" documentId="13_ncr:1_{D762525E-0B67-4BD3-B1D6-DB42088270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 Risk Assessment" sheetId="1" r:id="rId1"/>
    <sheet name="KEY - Risk Assessment Matrix" sheetId="2" r:id="rId2"/>
  </sheets>
  <definedNames>
    <definedName name="REASSESSMENT_DATE">#REF!</definedName>
    <definedName name="Type">#REF!</definedName>
  </definedNames>
  <calcPr calcId="191029"/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12" i="1"/>
  <c r="B11" i="1"/>
  <c r="B10" i="1"/>
  <c r="B9" i="1"/>
</calcChain>
</file>

<file path=xl/sharedStrings.xml><?xml version="1.0" encoding="utf-8"?>
<sst xmlns="http://schemas.openxmlformats.org/spreadsheetml/2006/main" count="388" uniqueCount="154">
  <si>
    <t>Evaluación de Riesgos del Proyecto</t>
  </si>
  <si>
    <t>ID del Proyecto</t>
  </si>
  <si>
    <t>Nombre del Proyecto</t>
  </si>
  <si>
    <t>Gerente del Proyecto</t>
  </si>
  <si>
    <t>Juan Andres Quiceno Banoy</t>
  </si>
  <si>
    <t>Nombres:   Karen Daniela Ruiz Madrigal, Juan Andres Quiceno Banoy, Juan Sebastian Delgado Inocencio, Andres Felipe Piñeros Lozano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</si>
  <si>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</si>
  <si>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</si>
  <si>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</si>
  <si>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</si>
  <si>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</si>
  <si>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</si>
  <si>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</si>
  <si>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</si>
  <si>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</si>
  <si>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</si>
  <si>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</si>
  <si>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</si>
  <si>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</si>
  <si>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</si>
  <si>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1.1 Definir objetivo del proyecto</t>
  </si>
  <si>
    <t>Objetivos mal definidos del videojuego</t>
  </si>
  <si>
    <t>TOLERABLE</t>
  </si>
  <si>
    <t>POSIBLE</t>
  </si>
  <si>
    <t>MEDIUM</t>
  </si>
  <si>
    <t>Reunión del equipo para definir metas claras</t>
  </si>
  <si>
    <t>ACEPTABLE</t>
  </si>
  <si>
    <t>IMPROBABLE</t>
  </si>
  <si>
    <t>LOW</t>
  </si>
  <si>
    <t>YES</t>
  </si>
  <si>
    <t>1.2 Identificar stakeholders</t>
  </si>
  <si>
    <t>No identificar correctamente los usuarios del juego</t>
  </si>
  <si>
    <t>Analizar público objetivo del videojuego</t>
  </si>
  <si>
    <t>NO</t>
  </si>
  <si>
    <t>1.4 Levantamiento de requisitos funcionales</t>
  </si>
  <si>
    <t>Requisitos incompletos del sistema</t>
  </si>
  <si>
    <t>INDESEABLE</t>
  </si>
  <si>
    <t>Revisiones con el equipo antes de iniciar desarrollo</t>
  </si>
  <si>
    <t>PROBABLE</t>
  </si>
  <si>
    <t>HIGH</t>
  </si>
  <si>
    <t>1.6 Análisis de tecnologías</t>
  </si>
  <si>
    <t>Selección incorrecta del motor o herramientas</t>
  </si>
  <si>
    <t>Evaluar herramientas antes de decidir</t>
  </si>
  <si>
    <t>INTOLERABLE</t>
  </si>
  <si>
    <t>EXTREME</t>
  </si>
  <si>
    <t>2.2 Estimación de recursos</t>
  </si>
  <si>
    <t>Falta de recursos o tiempo para completar tareas</t>
  </si>
  <si>
    <t>Ajustar planificación y distribución del trabajo</t>
  </si>
  <si>
    <t>3.1 Diseñar arquitectura del sistema</t>
  </si>
  <si>
    <t>Arquitectura mal diseñada del sistema</t>
  </si>
  <si>
    <t>Revisar diseño antes de comenzar programación</t>
  </si>
  <si>
    <t>3.3 Elaborar diagramas UML</t>
  </si>
  <si>
    <t>Diagramas incompletos o incorrectos</t>
  </si>
  <si>
    <t>Validación del diseño con el equipo</t>
  </si>
  <si>
    <t>3.4 Diseño interfaz del juego</t>
  </si>
  <si>
    <t>Interfaz poco intuitiva para el jugador</t>
  </si>
  <si>
    <t>Realizar pruebas de diseño con usuarios</t>
  </si>
  <si>
    <t>3.8 Diseño de niveles</t>
  </si>
  <si>
    <t>Niveles demasiado difíciles o aburridos</t>
  </si>
  <si>
    <t>Ajustar dificultad mediante pruebas</t>
  </si>
  <si>
    <t>4.2 Programar mecánicas del juego</t>
  </si>
  <si>
    <t>Errores en las mecánicas del juego</t>
  </si>
  <si>
    <t>Pruebas continuas del código</t>
  </si>
  <si>
    <t>4.4 Integración con base de datos</t>
  </si>
  <si>
    <t>Fallo en conexión con base de datos</t>
  </si>
  <si>
    <t>Probar conexión antes de integrar</t>
  </si>
  <si>
    <t>4.6 Integrar modelos 3D</t>
  </si>
  <si>
    <t>Modelos demasiado pesados que afectan rendimiento</t>
  </si>
  <si>
    <t>Optimizar modelos 3D</t>
  </si>
  <si>
    <t>5.2 Pruebas de rendimiento</t>
  </si>
  <si>
    <t>El videojuego funciona lento</t>
  </si>
  <si>
    <t>Optimización del código y assets</t>
  </si>
  <si>
    <t>6.2 Generar build del videojuego</t>
  </si>
  <si>
    <t>Error en compilación del juego</t>
  </si>
  <si>
    <t>Verificar dependencias y librerías</t>
  </si>
  <si>
    <t>6.3 Pruebas de instalación</t>
  </si>
  <si>
    <t>Problemas al instalar el juego en otros PCs</t>
  </si>
  <si>
    <t>Probar instalación en diferentes equipos</t>
  </si>
  <si>
    <t>7.2 Manual de usuario</t>
  </si>
  <si>
    <t>Documentación incompleta</t>
  </si>
  <si>
    <t>Revisar manual antes de entrega</t>
  </si>
  <si>
    <t>8.1 Cierre del proyecto</t>
  </si>
  <si>
    <t>Entrega final incompleta</t>
  </si>
  <si>
    <t>Revisión final del proyecto</t>
  </si>
  <si>
    <t xml:space="preserve">RISK 
RATING 
KEY
</t>
  </si>
  <si>
    <t>BAJO</t>
  </si>
  <si>
    <t>MEDIO</t>
  </si>
  <si>
    <t>ALTO</t>
  </si>
  <si>
    <t>EXTREMO</t>
  </si>
  <si>
    <r>
      <rPr>
        <b/>
        <sz val="10"/>
        <color theme="1"/>
        <rFont val="Century Gothic"/>
      </rPr>
      <t xml:space="preserve">ALARP 
</t>
    </r>
    <r>
      <rPr>
        <sz val="9"/>
        <color theme="1"/>
        <rFont val="Century Gothic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</si>
  <si>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</si>
  <si>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</si>
  <si>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</si>
  <si>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</si>
  <si>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</si>
  <si>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</si>
  <si>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</si>
  <si>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</si>
  <si>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</si>
  <si>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</si>
  <si>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</si>
  <si>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</si>
  <si>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</si>
  <si>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</si>
  <si>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</si>
  <si>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</si>
  <si>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</si>
  <si>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</si>
  <si>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</si>
  <si>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</si>
  <si>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</si>
  <si>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1.3 Definir alcance del proyecto</t>
  </si>
  <si>
    <t>Alcance del videojuego demasiado grande para el tiempo disponible</t>
  </si>
  <si>
    <t>Reducir funcionalidades y priorizar mecánicas principales</t>
  </si>
  <si>
    <t>1.5 Requisitos no funcionales</t>
  </si>
  <si>
    <t>Problemas de rendimiento en diferentes computadores</t>
  </si>
  <si>
    <t>Definir requisitos mínimos y optimizar desde el inicio</t>
  </si>
  <si>
    <t>El juego no funciona correctamente en la plataforma objetivo</t>
  </si>
  <si>
    <t>1.7 Selección de plataforma</t>
  </si>
  <si>
    <t>Realizar pruebas tempranas en la plataforma objetivo</t>
  </si>
  <si>
    <t>3.2 Definir módulos del sistema</t>
  </si>
  <si>
    <t>Mala separación de módulos genera errores en desarrollo</t>
  </si>
  <si>
    <t>Revisar arquitectura antes de iniciar programación</t>
  </si>
  <si>
    <t>3.5 Diseño base de datos</t>
  </si>
  <si>
    <t>Estructura de datos incorrecta para guardar progreso del jugador</t>
  </si>
  <si>
    <t>Validar diseño con pruebas de almacenamiento</t>
  </si>
  <si>
    <t>3.6 Diseño personajes y escenarios</t>
  </si>
  <si>
    <t>Personajes poco atractivos para los jugadores</t>
  </si>
  <si>
    <t>Realizar validación visual con usuarios</t>
  </si>
  <si>
    <t>3.9 Diseño sonido y música</t>
  </si>
  <si>
    <t>Problemas de derechos de autor en música usada</t>
  </si>
  <si>
    <t>Usar música libre de derechos o licencias</t>
  </si>
  <si>
    <t>4.1 Configurar entorno de desarrollo</t>
  </si>
  <si>
    <t>Problemas de compatibilidad entre herramientas de desarrollo</t>
  </si>
  <si>
    <t>Establecer entorno común para todo el equipo</t>
  </si>
  <si>
    <t>4.3 Desarrollo módulo de usuarios</t>
  </si>
  <si>
    <t>Pérdida de datos de usuarios o progreso del juego</t>
  </si>
  <si>
    <t>Implementar respaldo y validación de datos</t>
  </si>
  <si>
    <t>4.5 Implementar interfaz del juego</t>
  </si>
  <si>
    <t>Interfaz difícil de entender para nuevos jugadores</t>
  </si>
  <si>
    <t>Realizar pruebas de usabilidad con jugadores</t>
  </si>
  <si>
    <t>5.1 Pruebas funcionales</t>
  </si>
  <si>
    <t>No detectar errores críticos antes de la entrega</t>
  </si>
  <si>
    <t>Ampliar pruebas y testeo por diferentes usuarios</t>
  </si>
  <si>
    <t>Jugadores no comprenden mecánicas del juego</t>
  </si>
  <si>
    <t>Ajustar tutorial y explicaciones del juego</t>
  </si>
  <si>
    <t>5.4 Pruebas de usabilidad</t>
  </si>
  <si>
    <t>6.4 Publicación del videojuego</t>
  </si>
  <si>
    <t>Fallos al subir o distribuir el juego</t>
  </si>
  <si>
    <t>Realizar pruebas de distribución previamente</t>
  </si>
  <si>
    <t>7.3 Manual técnico</t>
  </si>
  <si>
    <t>Documentación técnica incompleta para futuras mejoras</t>
  </si>
  <si>
    <t>Revisar documentación antes de entrega</t>
  </si>
  <si>
    <t>Recessed Minds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</si>
</sst>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0"/>
      <color theme="1"/>
      <name val="Century Gothic"/>
    </font>
    <font>
      <b/>
      <sz val="26"/>
      <color rgb="FF001033"/>
      <name val="Century Gothic"/>
    </font>
    <font>
      <sz val="9"/>
      <color rgb="FF000000"/>
      <name val="Century Gothic"/>
    </font>
    <font>
      <sz val="10"/>
      <color rgb="FF000000"/>
      <name val="Century Gothic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entury Gothic"/>
    </font>
    <font>
      <sz val="14"/>
      <color theme="1"/>
      <name val="Century Gothic"/>
    </font>
    <font>
      <b/>
      <sz val="10"/>
      <color theme="1"/>
      <name val="Century Gothic"/>
    </font>
    <font>
      <b/>
      <sz val="9"/>
      <color theme="1"/>
      <name val="Century Gothic"/>
    </font>
    <font>
      <sz val="9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b/>
      <sz val="15"/>
      <color theme="1"/>
      <name val="Century Gothic"/>
    </font>
    <font>
      <b/>
      <sz val="11"/>
      <color theme="1"/>
      <name val="Century Gothic"/>
    </font>
    <font>
      <b/>
      <sz val="10"/>
      <color theme="1"/>
      <name val="Calibri"/>
    </font>
    <font>
      <sz val="18"/>
      <color theme="1"/>
      <name val="Century Gothic"/>
    </font>
    <font>
      <b/>
      <sz val="14"/>
      <color theme="1"/>
      <name val="Century Gothic"/>
    </font>
    <font>
      <sz val="11"/>
      <color theme="1"/>
      <name val="Arial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EAEEF3"/>
        <bgColor rgb="FFEAEEF3"/>
      </patternFill>
    </fill>
    <fill>
      <patternFill patternType="solid">
        <fgColor rgb="FFEBEBEB"/>
        <bgColor rgb="FFEBEBEB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65F7C6"/>
        <bgColor rgb="FF65F7C6"/>
      </patternFill>
    </fill>
    <fill>
      <patternFill patternType="solid">
        <fgColor rgb="FF00B050"/>
        <bgColor rgb="FF00B050"/>
      </patternFill>
    </fill>
    <fill>
      <patternFill patternType="solid">
        <fgColor rgb="FFFFEC97"/>
        <bgColor rgb="FFFFEC97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FA80B"/>
        <bgColor rgb="FFFFA80B"/>
      </patternFill>
    </fill>
    <fill>
      <patternFill patternType="solid">
        <fgColor theme="0"/>
        <bgColor rgb="FFF7F9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F7F7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/>
      <bottom style="thick">
        <color rgb="FFBFBFBF"/>
      </bottom>
      <diagonal/>
    </border>
    <border>
      <left style="thin">
        <color rgb="FFBFBFBF"/>
      </left>
      <right/>
      <top style="medium">
        <color rgb="FFBFBFBF"/>
      </top>
      <bottom style="thick">
        <color rgb="FFBFBFBF"/>
      </bottom>
      <diagonal/>
    </border>
    <border>
      <left/>
      <right/>
      <top style="medium">
        <color rgb="FFBFBFBF"/>
      </top>
      <bottom style="thick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ck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medium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BFBFBF"/>
      </bottom>
      <diagonal/>
    </border>
    <border>
      <left style="thin">
        <color rgb="FFBFBFBF"/>
      </left>
      <right style="double">
        <color rgb="FFBFBFBF"/>
      </right>
      <top style="thin">
        <color rgb="FFBFBFBF"/>
      </top>
      <bottom style="thick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ck">
        <color rgb="FFBFBFBF"/>
      </bottom>
      <diagonal/>
    </border>
    <border>
      <left/>
      <right style="thin">
        <color rgb="FFBFBFBF"/>
      </right>
      <top style="thin">
        <color rgb="FFBFBFBF"/>
      </top>
      <bottom style="thick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ck">
        <color rgb="FFBFBFB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medium">
        <color rgb="FFBFBFBF"/>
      </bottom>
      <diagonal/>
    </border>
    <border>
      <left style="thin">
        <color theme="0"/>
      </left>
      <right style="thin">
        <color theme="0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double">
        <color rgb="FFBFBFBF"/>
      </right>
      <top style="thin">
        <color rgb="FFBFBFBF"/>
      </top>
      <bottom style="thin">
        <color indexed="64"/>
      </bottom>
      <diagonal/>
    </border>
    <border>
      <left/>
      <right style="medium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wrapText="1"/>
    </xf>
    <xf numFmtId="0" fontId="10" fillId="0" borderId="8" xfId="0" applyFont="1" applyBorder="1" applyAlignment="1">
      <alignment vertical="center"/>
    </xf>
    <xf numFmtId="0" fontId="11" fillId="6" borderId="12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left" vertical="center" wrapText="1"/>
    </xf>
    <xf numFmtId="0" fontId="11" fillId="6" borderId="14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1" fillId="7" borderId="17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8" borderId="19" xfId="0" applyFont="1" applyFill="1" applyBorder="1" applyAlignment="1">
      <alignment horizontal="left" vertical="center" wrapText="1"/>
    </xf>
    <xf numFmtId="0" fontId="10" fillId="8" borderId="20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0" fillId="3" borderId="20" xfId="0" applyFont="1" applyFill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18" xfId="0" applyFont="1" applyFill="1" applyBorder="1" applyAlignment="1">
      <alignment horizontal="left" vertical="center" wrapText="1"/>
    </xf>
    <xf numFmtId="0" fontId="1" fillId="9" borderId="18" xfId="0" applyFont="1" applyFill="1" applyBorder="1" applyAlignment="1">
      <alignment horizontal="left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6" borderId="18" xfId="0" applyFont="1" applyFill="1" applyBorder="1" applyAlignment="1">
      <alignment horizontal="left" vertical="center" wrapText="1"/>
    </xf>
    <xf numFmtId="0" fontId="1" fillId="11" borderId="18" xfId="0" applyFont="1" applyFill="1" applyBorder="1" applyAlignment="1">
      <alignment horizontal="left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left" vertical="center" wrapText="1"/>
    </xf>
    <xf numFmtId="0" fontId="1" fillId="14" borderId="18" xfId="0" applyFont="1" applyFill="1" applyBorder="1" applyAlignment="1">
      <alignment horizontal="left" vertical="center" wrapText="1"/>
    </xf>
    <xf numFmtId="0" fontId="1" fillId="12" borderId="18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8" borderId="24" xfId="0" applyFont="1" applyFill="1" applyBorder="1" applyAlignment="1">
      <alignment horizontal="left" vertical="center" wrapText="1"/>
    </xf>
    <xf numFmtId="0" fontId="10" fillId="8" borderId="25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10" fillId="3" borderId="25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5" fillId="9" borderId="28" xfId="0" applyFont="1" applyFill="1" applyBorder="1" applyAlignment="1">
      <alignment horizontal="center" vertical="center" wrapText="1"/>
    </xf>
    <xf numFmtId="0" fontId="15" fillId="11" borderId="29" xfId="0" applyFont="1" applyFill="1" applyBorder="1" applyAlignment="1">
      <alignment horizontal="center" vertical="center" wrapText="1"/>
    </xf>
    <xf numFmtId="0" fontId="15" fillId="14" borderId="29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top" wrapText="1"/>
    </xf>
    <xf numFmtId="0" fontId="10" fillId="11" borderId="29" xfId="0" applyFont="1" applyFill="1" applyBorder="1" applyAlignment="1">
      <alignment horizontal="center" vertical="top" wrapText="1"/>
    </xf>
    <xf numFmtId="0" fontId="10" fillId="14" borderId="29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16" fillId="9" borderId="30" xfId="0" applyFont="1" applyFill="1" applyBorder="1" applyAlignment="1">
      <alignment horizontal="center" vertical="top" wrapText="1"/>
    </xf>
    <xf numFmtId="0" fontId="16" fillId="11" borderId="31" xfId="0" applyFont="1" applyFill="1" applyBorder="1" applyAlignment="1">
      <alignment horizontal="center" vertical="top" wrapText="1"/>
    </xf>
    <xf numFmtId="0" fontId="16" fillId="14" borderId="31" xfId="0" applyFont="1" applyFill="1" applyBorder="1" applyAlignment="1">
      <alignment horizontal="center" vertical="top" wrapText="1"/>
    </xf>
    <xf numFmtId="0" fontId="16" fillId="12" borderId="32" xfId="0" applyFont="1" applyFill="1" applyBorder="1" applyAlignment="1">
      <alignment horizontal="center" vertical="top" wrapText="1"/>
    </xf>
    <xf numFmtId="0" fontId="16" fillId="9" borderId="33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16" fillId="14" borderId="34" xfId="0" applyFont="1" applyFill="1" applyBorder="1" applyAlignment="1">
      <alignment horizontal="center" vertical="center" wrapText="1"/>
    </xf>
    <xf numFmtId="0" fontId="16" fillId="12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9" fillId="0" borderId="36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 wrapText="1"/>
    </xf>
    <xf numFmtId="0" fontId="15" fillId="0" borderId="36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20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9" fillId="4" borderId="9" xfId="0" applyFont="1" applyFill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9" fillId="5" borderId="9" xfId="0" applyFont="1" applyFill="1" applyBorder="1" applyAlignment="1">
      <alignment horizontal="left" vertical="center"/>
    </xf>
    <xf numFmtId="0" fontId="15" fillId="9" borderId="42" xfId="0" applyFont="1" applyFill="1" applyBorder="1" applyAlignment="1">
      <alignment horizontal="center" vertical="center" wrapText="1"/>
    </xf>
    <xf numFmtId="0" fontId="5" fillId="0" borderId="40" xfId="0" applyFont="1" applyBorder="1"/>
    <xf numFmtId="0" fontId="15" fillId="11" borderId="42" xfId="0" applyFont="1" applyFill="1" applyBorder="1" applyAlignment="1">
      <alignment horizontal="center" vertical="center" wrapText="1"/>
    </xf>
    <xf numFmtId="0" fontId="15" fillId="14" borderId="42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5" fillId="0" borderId="36" xfId="0" applyFont="1" applyBorder="1"/>
    <xf numFmtId="0" fontId="5" fillId="0" borderId="2" xfId="0" applyFont="1" applyBorder="1"/>
    <xf numFmtId="0" fontId="5" fillId="0" borderId="39" xfId="0" applyFont="1" applyBorder="1"/>
    <xf numFmtId="0" fontId="18" fillId="0" borderId="37" xfId="0" applyFont="1" applyBorder="1" applyAlignment="1">
      <alignment horizontal="center" vertical="center" wrapText="1"/>
    </xf>
    <xf numFmtId="0" fontId="5" fillId="0" borderId="37" xfId="0" applyFont="1" applyBorder="1"/>
    <xf numFmtId="0" fontId="18" fillId="0" borderId="41" xfId="0" applyFont="1" applyBorder="1" applyAlignment="1">
      <alignment horizontal="center" vertical="center" textRotation="90" wrapText="1"/>
    </xf>
    <xf numFmtId="0" fontId="5" fillId="0" borderId="41" xfId="0" applyFont="1" applyBorder="1"/>
    <xf numFmtId="0" fontId="1" fillId="8" borderId="44" xfId="0" applyFont="1" applyFill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8" borderId="45" xfId="0" applyFont="1" applyFill="1" applyBorder="1" applyAlignment="1">
      <alignment horizontal="left" vertical="center" wrapText="1"/>
    </xf>
    <xf numFmtId="0" fontId="10" fillId="8" borderId="46" xfId="0" applyFont="1" applyFill="1" applyBorder="1" applyAlignment="1">
      <alignment horizontal="left" vertical="center" wrapText="1"/>
    </xf>
    <xf numFmtId="0" fontId="1" fillId="0" borderId="47" xfId="0" applyFont="1" applyBorder="1" applyAlignment="1">
      <alignment horizontal="left" vertical="center" wrapText="1"/>
    </xf>
    <xf numFmtId="0" fontId="1" fillId="3" borderId="44" xfId="0" applyFont="1" applyFill="1" applyBorder="1" applyAlignment="1">
      <alignment horizontal="left" vertical="center" wrapText="1"/>
    </xf>
    <xf numFmtId="0" fontId="1" fillId="3" borderId="45" xfId="0" applyFont="1" applyFill="1" applyBorder="1" applyAlignment="1">
      <alignment horizontal="left" vertical="center" wrapText="1"/>
    </xf>
    <xf numFmtId="0" fontId="10" fillId="3" borderId="46" xfId="0" applyFont="1" applyFill="1" applyBorder="1" applyAlignment="1">
      <alignment horizontal="left" vertical="center" wrapText="1"/>
    </xf>
    <xf numFmtId="0" fontId="10" fillId="0" borderId="48" xfId="0" applyFont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color theme="1"/>
      </font>
      <fill>
        <patternFill patternType="solid">
          <fgColor rgb="FF00BD32"/>
          <bgColor rgb="FF00BD32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</sheetPr>
  <dimension ref="A1:Z1000"/>
  <sheetViews>
    <sheetView showGridLines="0" tabSelected="1" zoomScale="85" zoomScaleNormal="85" workbookViewId="0">
      <pane ySplit="1" topLeftCell="A11" activePane="bottomLeft" state="frozen"/>
      <selection pane="bottomLeft" activeCell="I3" sqref="I3:K3"/>
    </sheetView>
  </sheetViews>
  <sheetFormatPr baseColWidth="10" defaultColWidth="14.44140625" defaultRowHeight="15" customHeight="1"/>
  <cols>
    <col min="1" max="1" width="3.33203125" customWidth="1"/>
    <col min="2" max="2" width="11.109375" customWidth="1"/>
    <col min="3" max="4" width="25.88671875" customWidth="1"/>
    <col min="5" max="6" width="13.88671875" customWidth="1"/>
    <col min="7" max="7" width="10.88671875" customWidth="1"/>
    <col min="8" max="8" width="33.88671875" customWidth="1"/>
    <col min="9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6" width="8.88671875" customWidth="1"/>
  </cols>
  <sheetData>
    <row r="1" spans="1:26" ht="42" customHeight="1">
      <c r="A1" s="1"/>
      <c r="B1" s="2" t="s">
        <v>0</v>
      </c>
      <c r="C1" s="3"/>
      <c r="D1" s="1"/>
      <c r="E1" s="3"/>
      <c r="F1" s="3"/>
      <c r="G1" s="3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B2" s="4" t="s">
        <v>1</v>
      </c>
      <c r="C2" s="4" t="s">
        <v>2</v>
      </c>
      <c r="D2" s="4"/>
      <c r="E2" s="4"/>
      <c r="F2" s="4"/>
      <c r="G2" s="4"/>
      <c r="H2" s="4"/>
      <c r="I2" s="76" t="s">
        <v>3</v>
      </c>
      <c r="J2" s="77"/>
      <c r="K2" s="77"/>
    </row>
    <row r="3" spans="1:26" ht="34.5" customHeight="1">
      <c r="B3" s="5">
        <v>1</v>
      </c>
      <c r="C3" s="78" t="s">
        <v>153</v>
      </c>
      <c r="D3" s="79"/>
      <c r="E3" s="79"/>
      <c r="F3" s="79"/>
      <c r="G3" s="79"/>
      <c r="H3" s="80"/>
      <c r="I3" s="78" t="s">
        <v>4</v>
      </c>
      <c r="J3" s="79"/>
      <c r="K3" s="81"/>
      <c r="N3" s="6" t="s">
        <v>5</v>
      </c>
    </row>
    <row r="5" spans="1:26" ht="30" customHeight="1">
      <c r="A5" s="7"/>
      <c r="B5" s="8"/>
      <c r="C5" s="8"/>
      <c r="D5" s="9"/>
      <c r="E5" s="82" t="s">
        <v>6</v>
      </c>
      <c r="F5" s="83"/>
      <c r="G5" s="84"/>
      <c r="H5" s="8"/>
      <c r="I5" s="85" t="s">
        <v>7</v>
      </c>
      <c r="J5" s="83"/>
      <c r="K5" s="84"/>
      <c r="L5" s="10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>
      <c r="A6" s="7"/>
      <c r="B6" s="11" t="s">
        <v>8</v>
      </c>
      <c r="C6" s="11" t="s">
        <v>9</v>
      </c>
      <c r="D6" s="11" t="s">
        <v>10</v>
      </c>
      <c r="E6" s="11" t="s">
        <v>11</v>
      </c>
      <c r="F6" s="12" t="s">
        <v>12</v>
      </c>
      <c r="G6" s="13" t="s">
        <v>13</v>
      </c>
      <c r="H6" s="14" t="s">
        <v>14</v>
      </c>
      <c r="I6" s="11" t="s">
        <v>11</v>
      </c>
      <c r="J6" s="12" t="s">
        <v>12</v>
      </c>
      <c r="K6" s="13" t="s">
        <v>13</v>
      </c>
      <c r="L6" s="15" t="s">
        <v>15</v>
      </c>
      <c r="M6" s="7"/>
      <c r="N6" s="7"/>
      <c r="O6" s="7"/>
      <c r="P6" s="16" t="s">
        <v>16</v>
      </c>
      <c r="Q6" s="17"/>
      <c r="R6" s="16" t="s">
        <v>17</v>
      </c>
      <c r="S6" s="17"/>
      <c r="T6" s="16" t="s">
        <v>18</v>
      </c>
      <c r="U6" s="17"/>
      <c r="V6" s="18" t="s">
        <v>19</v>
      </c>
      <c r="W6" s="7"/>
      <c r="X6" s="7"/>
      <c r="Y6" s="7"/>
      <c r="Z6" s="7"/>
    </row>
    <row r="7" spans="1:26" ht="33" customHeight="1">
      <c r="A7" s="7"/>
      <c r="B7" s="19">
        <v>1</v>
      </c>
      <c r="C7" s="20" t="s">
        <v>20</v>
      </c>
      <c r="D7" s="20" t="s">
        <v>21</v>
      </c>
      <c r="E7" s="19" t="s">
        <v>22</v>
      </c>
      <c r="F7" s="21" t="s">
        <v>23</v>
      </c>
      <c r="G7" s="22" t="s">
        <v>24</v>
      </c>
      <c r="H7" s="23" t="s">
        <v>25</v>
      </c>
      <c r="I7" s="24" t="s">
        <v>26</v>
      </c>
      <c r="J7" s="25" t="s">
        <v>27</v>
      </c>
      <c r="K7" s="26" t="s">
        <v>28</v>
      </c>
      <c r="L7" s="27" t="s">
        <v>29</v>
      </c>
      <c r="M7" s="7"/>
      <c r="N7" s="7"/>
      <c r="O7" s="7"/>
      <c r="P7" s="20" t="s">
        <v>26</v>
      </c>
      <c r="Q7" s="28"/>
      <c r="R7" s="29" t="s">
        <v>27</v>
      </c>
      <c r="S7" s="28"/>
      <c r="T7" s="30" t="s">
        <v>28</v>
      </c>
      <c r="U7" s="28"/>
      <c r="V7" s="31" t="s">
        <v>29</v>
      </c>
      <c r="W7" s="7"/>
      <c r="X7" s="7"/>
      <c r="Y7" s="7"/>
      <c r="Z7" s="7"/>
    </row>
    <row r="8" spans="1:26" ht="39" customHeight="1">
      <c r="A8" s="7"/>
      <c r="B8" s="19">
        <v>2</v>
      </c>
      <c r="C8" s="20" t="s">
        <v>30</v>
      </c>
      <c r="D8" s="20" t="s">
        <v>31</v>
      </c>
      <c r="E8" s="19" t="s">
        <v>22</v>
      </c>
      <c r="F8" s="21" t="s">
        <v>23</v>
      </c>
      <c r="G8" s="22" t="s">
        <v>24</v>
      </c>
      <c r="H8" s="23" t="s">
        <v>32</v>
      </c>
      <c r="I8" s="24" t="s">
        <v>22</v>
      </c>
      <c r="J8" s="25" t="s">
        <v>27</v>
      </c>
      <c r="K8" s="26" t="s">
        <v>24</v>
      </c>
      <c r="L8" s="27" t="s">
        <v>29</v>
      </c>
      <c r="M8" s="7"/>
      <c r="N8" s="7"/>
      <c r="O8" s="7"/>
      <c r="P8" s="32" t="s">
        <v>22</v>
      </c>
      <c r="Q8" s="28"/>
      <c r="R8" s="33" t="s">
        <v>23</v>
      </c>
      <c r="S8" s="28"/>
      <c r="T8" s="34" t="s">
        <v>24</v>
      </c>
      <c r="U8" s="28"/>
      <c r="V8" s="35" t="s">
        <v>33</v>
      </c>
      <c r="W8" s="7"/>
      <c r="X8" s="7"/>
      <c r="Y8" s="7"/>
      <c r="Z8" s="7"/>
    </row>
    <row r="9" spans="1:26" ht="39.6">
      <c r="A9" s="7"/>
      <c r="B9" s="19">
        <f>B8+1</f>
        <v>3</v>
      </c>
      <c r="C9" s="20" t="s">
        <v>111</v>
      </c>
      <c r="D9" s="20" t="s">
        <v>112</v>
      </c>
      <c r="E9" s="19" t="s">
        <v>36</v>
      </c>
      <c r="F9" s="21" t="s">
        <v>23</v>
      </c>
      <c r="G9" s="22" t="s">
        <v>39</v>
      </c>
      <c r="H9" s="23" t="s">
        <v>113</v>
      </c>
      <c r="I9" s="24" t="s">
        <v>22</v>
      </c>
      <c r="J9" s="25" t="s">
        <v>23</v>
      </c>
      <c r="K9" s="26" t="s">
        <v>28</v>
      </c>
      <c r="L9" s="27" t="s">
        <v>29</v>
      </c>
      <c r="M9" s="7"/>
      <c r="N9" s="7"/>
      <c r="O9" s="7"/>
      <c r="P9" s="33" t="s">
        <v>36</v>
      </c>
      <c r="Q9" s="28"/>
      <c r="R9" s="36" t="s">
        <v>38</v>
      </c>
      <c r="S9" s="28"/>
      <c r="T9" s="37" t="s">
        <v>39</v>
      </c>
      <c r="U9" s="28"/>
      <c r="V9" s="28"/>
      <c r="W9" s="7"/>
      <c r="X9" s="7"/>
      <c r="Y9" s="7"/>
      <c r="Z9" s="7"/>
    </row>
    <row r="10" spans="1:26" ht="33" customHeight="1">
      <c r="A10" s="7"/>
      <c r="B10" s="19">
        <f>B9+1</f>
        <v>4</v>
      </c>
      <c r="C10" s="20" t="s">
        <v>34</v>
      </c>
      <c r="D10" s="20" t="s">
        <v>35</v>
      </c>
      <c r="E10" s="19" t="s">
        <v>36</v>
      </c>
      <c r="F10" s="21" t="s">
        <v>23</v>
      </c>
      <c r="G10" s="22" t="s">
        <v>24</v>
      </c>
      <c r="H10" s="23" t="s">
        <v>37</v>
      </c>
      <c r="I10" s="24" t="s">
        <v>22</v>
      </c>
      <c r="J10" s="25" t="s">
        <v>27</v>
      </c>
      <c r="K10" s="26" t="s">
        <v>24</v>
      </c>
      <c r="L10" s="27" t="s">
        <v>29</v>
      </c>
      <c r="M10" s="7"/>
      <c r="N10" s="7"/>
      <c r="O10" s="7"/>
      <c r="P10" s="36" t="s">
        <v>43</v>
      </c>
      <c r="Q10" s="28"/>
      <c r="R10" s="28"/>
      <c r="S10" s="28"/>
      <c r="T10" s="38" t="s">
        <v>44</v>
      </c>
      <c r="U10" s="28"/>
      <c r="V10" s="28"/>
      <c r="W10" s="7"/>
      <c r="X10" s="7"/>
      <c r="Y10" s="7"/>
      <c r="Z10" s="7"/>
    </row>
    <row r="11" spans="1:26" ht="33" customHeight="1">
      <c r="A11" s="7"/>
      <c r="B11" s="19">
        <f>B10+1</f>
        <v>5</v>
      </c>
      <c r="C11" s="20" t="s">
        <v>114</v>
      </c>
      <c r="D11" s="20" t="s">
        <v>115</v>
      </c>
      <c r="E11" s="19" t="s">
        <v>36</v>
      </c>
      <c r="F11" s="21" t="s">
        <v>23</v>
      </c>
      <c r="G11" s="22" t="s">
        <v>39</v>
      </c>
      <c r="H11" s="23" t="s">
        <v>116</v>
      </c>
      <c r="I11" s="24" t="s">
        <v>22</v>
      </c>
      <c r="J11" s="25" t="s">
        <v>38</v>
      </c>
      <c r="K11" s="26" t="s">
        <v>24</v>
      </c>
      <c r="L11" s="27" t="s">
        <v>29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3" customHeight="1">
      <c r="A12" s="7"/>
      <c r="B12" s="19">
        <f t="shared" ref="B12:B37" si="0">B11+1</f>
        <v>6</v>
      </c>
      <c r="C12" s="20" t="s">
        <v>40</v>
      </c>
      <c r="D12" s="20" t="s">
        <v>41</v>
      </c>
      <c r="E12" s="19" t="s">
        <v>22</v>
      </c>
      <c r="F12" s="21" t="s">
        <v>23</v>
      </c>
      <c r="G12" s="22" t="s">
        <v>24</v>
      </c>
      <c r="H12" s="23" t="s">
        <v>42</v>
      </c>
      <c r="I12" s="24" t="s">
        <v>26</v>
      </c>
      <c r="J12" s="25" t="s">
        <v>38</v>
      </c>
      <c r="K12" s="26" t="s">
        <v>28</v>
      </c>
      <c r="L12" s="27" t="s">
        <v>29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9.6">
      <c r="A13" s="7"/>
      <c r="B13" s="19">
        <f t="shared" si="0"/>
        <v>7</v>
      </c>
      <c r="C13" s="20" t="s">
        <v>118</v>
      </c>
      <c r="D13" s="20" t="s">
        <v>117</v>
      </c>
      <c r="E13" s="19" t="s">
        <v>36</v>
      </c>
      <c r="F13" s="21" t="s">
        <v>23</v>
      </c>
      <c r="G13" s="22" t="s">
        <v>39</v>
      </c>
      <c r="H13" s="23" t="s">
        <v>119</v>
      </c>
      <c r="I13" s="24" t="s">
        <v>22</v>
      </c>
      <c r="J13" s="25" t="s">
        <v>27</v>
      </c>
      <c r="K13" s="26" t="s">
        <v>28</v>
      </c>
      <c r="L13" s="27" t="s">
        <v>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" customHeight="1">
      <c r="A14" s="7"/>
      <c r="B14" s="19">
        <f t="shared" si="0"/>
        <v>8</v>
      </c>
      <c r="C14" s="20" t="s">
        <v>45</v>
      </c>
      <c r="D14" s="20" t="s">
        <v>46</v>
      </c>
      <c r="E14" s="19" t="s">
        <v>22</v>
      </c>
      <c r="F14" s="21" t="s">
        <v>23</v>
      </c>
      <c r="G14" s="22" t="s">
        <v>24</v>
      </c>
      <c r="H14" s="23" t="s">
        <v>47</v>
      </c>
      <c r="I14" s="24" t="s">
        <v>26</v>
      </c>
      <c r="J14" s="25" t="s">
        <v>38</v>
      </c>
      <c r="K14" s="26" t="s">
        <v>28</v>
      </c>
      <c r="L14" s="39" t="s">
        <v>29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" customHeight="1">
      <c r="A15" s="7"/>
      <c r="B15" s="19">
        <f t="shared" si="0"/>
        <v>9</v>
      </c>
      <c r="C15" s="20" t="s">
        <v>48</v>
      </c>
      <c r="D15" s="20" t="s">
        <v>49</v>
      </c>
      <c r="E15" s="19" t="s">
        <v>22</v>
      </c>
      <c r="F15" s="21" t="s">
        <v>23</v>
      </c>
      <c r="G15" s="22" t="s">
        <v>39</v>
      </c>
      <c r="H15" s="23" t="s">
        <v>50</v>
      </c>
      <c r="I15" s="24" t="s">
        <v>26</v>
      </c>
      <c r="J15" s="25" t="s">
        <v>38</v>
      </c>
      <c r="K15" s="26" t="s">
        <v>28</v>
      </c>
      <c r="L15" s="39" t="s">
        <v>29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9.6">
      <c r="A16" s="7"/>
      <c r="B16" s="19">
        <f t="shared" si="0"/>
        <v>10</v>
      </c>
      <c r="C16" s="20" t="s">
        <v>120</v>
      </c>
      <c r="D16" s="20" t="s">
        <v>121</v>
      </c>
      <c r="E16" s="19" t="s">
        <v>22</v>
      </c>
      <c r="F16" s="21" t="s">
        <v>23</v>
      </c>
      <c r="G16" s="22" t="s">
        <v>24</v>
      </c>
      <c r="H16" s="23" t="s">
        <v>122</v>
      </c>
      <c r="I16" s="24" t="s">
        <v>26</v>
      </c>
      <c r="J16" s="25" t="s">
        <v>27</v>
      </c>
      <c r="K16" s="26" t="s">
        <v>28</v>
      </c>
      <c r="L16" s="39" t="s">
        <v>29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" customHeight="1">
      <c r="A17" s="7"/>
      <c r="B17" s="19">
        <f t="shared" si="0"/>
        <v>11</v>
      </c>
      <c r="C17" s="20" t="s">
        <v>51</v>
      </c>
      <c r="D17" s="20" t="s">
        <v>52</v>
      </c>
      <c r="E17" s="19" t="s">
        <v>22</v>
      </c>
      <c r="F17" s="21" t="s">
        <v>23</v>
      </c>
      <c r="G17" s="22" t="s">
        <v>24</v>
      </c>
      <c r="H17" s="23" t="s">
        <v>53</v>
      </c>
      <c r="I17" s="24" t="s">
        <v>22</v>
      </c>
      <c r="J17" s="25" t="s">
        <v>27</v>
      </c>
      <c r="K17" s="26" t="s">
        <v>28</v>
      </c>
      <c r="L17" s="39" t="s">
        <v>29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" customHeight="1">
      <c r="A18" s="7"/>
      <c r="B18" s="19">
        <f t="shared" si="0"/>
        <v>12</v>
      </c>
      <c r="C18" s="20" t="s">
        <v>54</v>
      </c>
      <c r="D18" s="20" t="s">
        <v>55</v>
      </c>
      <c r="E18" s="19" t="s">
        <v>22</v>
      </c>
      <c r="F18" s="21" t="s">
        <v>23</v>
      </c>
      <c r="G18" s="22" t="s">
        <v>39</v>
      </c>
      <c r="H18" s="23" t="s">
        <v>56</v>
      </c>
      <c r="I18" s="24" t="s">
        <v>22</v>
      </c>
      <c r="J18" s="25" t="s">
        <v>38</v>
      </c>
      <c r="K18" s="26" t="s">
        <v>24</v>
      </c>
      <c r="L18" s="39" t="s">
        <v>29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9.6">
      <c r="A19" s="7"/>
      <c r="B19" s="19">
        <f t="shared" si="0"/>
        <v>13</v>
      </c>
      <c r="C19" s="20" t="s">
        <v>123</v>
      </c>
      <c r="D19" s="20" t="s">
        <v>124</v>
      </c>
      <c r="E19" s="19" t="s">
        <v>36</v>
      </c>
      <c r="F19" s="21" t="s">
        <v>23</v>
      </c>
      <c r="G19" s="22" t="s">
        <v>39</v>
      </c>
      <c r="H19" s="23" t="s">
        <v>125</v>
      </c>
      <c r="I19" s="24" t="s">
        <v>22</v>
      </c>
      <c r="J19" s="25" t="s">
        <v>38</v>
      </c>
      <c r="K19" s="26" t="s">
        <v>24</v>
      </c>
      <c r="L19" s="39" t="s">
        <v>29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" customHeight="1">
      <c r="A20" s="7"/>
      <c r="B20" s="19">
        <f t="shared" si="0"/>
        <v>14</v>
      </c>
      <c r="C20" s="20" t="s">
        <v>126</v>
      </c>
      <c r="D20" s="20" t="s">
        <v>127</v>
      </c>
      <c r="E20" s="19" t="s">
        <v>22</v>
      </c>
      <c r="F20" s="21" t="s">
        <v>23</v>
      </c>
      <c r="G20" s="22" t="s">
        <v>24</v>
      </c>
      <c r="H20" s="23" t="s">
        <v>128</v>
      </c>
      <c r="I20" s="24" t="s">
        <v>26</v>
      </c>
      <c r="J20" s="25" t="s">
        <v>27</v>
      </c>
      <c r="K20" s="26" t="s">
        <v>28</v>
      </c>
      <c r="L20" s="39" t="s">
        <v>29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" customHeight="1">
      <c r="A21" s="7"/>
      <c r="B21" s="19">
        <f t="shared" si="0"/>
        <v>15</v>
      </c>
      <c r="C21" s="20" t="s">
        <v>57</v>
      </c>
      <c r="D21" s="20" t="s">
        <v>58</v>
      </c>
      <c r="E21" s="19" t="s">
        <v>22</v>
      </c>
      <c r="F21" s="21" t="s">
        <v>23</v>
      </c>
      <c r="G21" s="22" t="s">
        <v>39</v>
      </c>
      <c r="H21" s="23" t="s">
        <v>59</v>
      </c>
      <c r="I21" s="24" t="s">
        <v>26</v>
      </c>
      <c r="J21" s="25" t="s">
        <v>38</v>
      </c>
      <c r="K21" s="26" t="s">
        <v>24</v>
      </c>
      <c r="L21" s="39" t="s">
        <v>29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" customHeight="1">
      <c r="A22" s="7"/>
      <c r="B22" s="19">
        <f t="shared" si="0"/>
        <v>16</v>
      </c>
      <c r="C22" s="20" t="s">
        <v>129</v>
      </c>
      <c r="D22" s="20" t="s">
        <v>130</v>
      </c>
      <c r="E22" s="19" t="s">
        <v>36</v>
      </c>
      <c r="F22" s="21" t="s">
        <v>23</v>
      </c>
      <c r="G22" s="22" t="s">
        <v>39</v>
      </c>
      <c r="H22" s="23" t="s">
        <v>131</v>
      </c>
      <c r="I22" s="24" t="s">
        <v>22</v>
      </c>
      <c r="J22" s="25" t="s">
        <v>27</v>
      </c>
      <c r="K22" s="26" t="s">
        <v>28</v>
      </c>
      <c r="L22" s="39" t="s">
        <v>29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52.8">
      <c r="A23" s="7"/>
      <c r="B23" s="19">
        <f t="shared" si="0"/>
        <v>17</v>
      </c>
      <c r="C23" s="20" t="s">
        <v>132</v>
      </c>
      <c r="D23" s="20" t="s">
        <v>133</v>
      </c>
      <c r="E23" s="19" t="s">
        <v>22</v>
      </c>
      <c r="F23" s="21" t="s">
        <v>23</v>
      </c>
      <c r="G23" s="22" t="s">
        <v>24</v>
      </c>
      <c r="H23" s="23" t="s">
        <v>134</v>
      </c>
      <c r="I23" s="24" t="s">
        <v>26</v>
      </c>
      <c r="J23" s="25" t="s">
        <v>27</v>
      </c>
      <c r="K23" s="26" t="s">
        <v>28</v>
      </c>
      <c r="L23" s="39" t="s">
        <v>29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6.6" customHeight="1">
      <c r="B24" s="19">
        <f t="shared" si="0"/>
        <v>18</v>
      </c>
      <c r="C24" s="20" t="s">
        <v>60</v>
      </c>
      <c r="D24" s="20" t="s">
        <v>61</v>
      </c>
      <c r="E24" s="19" t="s">
        <v>22</v>
      </c>
      <c r="F24" s="21" t="s">
        <v>23</v>
      </c>
      <c r="G24" s="22" t="s">
        <v>24</v>
      </c>
      <c r="H24" s="23" t="s">
        <v>62</v>
      </c>
      <c r="I24" s="24" t="s">
        <v>22</v>
      </c>
      <c r="J24" s="25" t="s">
        <v>38</v>
      </c>
      <c r="K24" s="26" t="s">
        <v>28</v>
      </c>
      <c r="L24" s="39" t="s">
        <v>29</v>
      </c>
    </row>
    <row r="25" spans="1:26" ht="39.6">
      <c r="B25" s="19">
        <f t="shared" si="0"/>
        <v>19</v>
      </c>
      <c r="C25" s="20" t="s">
        <v>135</v>
      </c>
      <c r="D25" s="20" t="s">
        <v>136</v>
      </c>
      <c r="E25" s="19" t="s">
        <v>36</v>
      </c>
      <c r="F25" s="21" t="s">
        <v>23</v>
      </c>
      <c r="G25" s="22" t="s">
        <v>39</v>
      </c>
      <c r="H25" s="23" t="s">
        <v>137</v>
      </c>
      <c r="I25" s="24" t="s">
        <v>22</v>
      </c>
      <c r="J25" s="25" t="s">
        <v>38</v>
      </c>
      <c r="K25" s="26" t="s">
        <v>24</v>
      </c>
      <c r="L25" s="39" t="s">
        <v>29</v>
      </c>
    </row>
    <row r="26" spans="1:26" ht="26.4">
      <c r="B26" s="19">
        <f t="shared" si="0"/>
        <v>20</v>
      </c>
      <c r="C26" s="20" t="s">
        <v>63</v>
      </c>
      <c r="D26" s="20" t="s">
        <v>64</v>
      </c>
      <c r="E26" s="19" t="s">
        <v>36</v>
      </c>
      <c r="F26" s="21" t="s">
        <v>23</v>
      </c>
      <c r="G26" s="22" t="s">
        <v>39</v>
      </c>
      <c r="H26" s="23" t="s">
        <v>65</v>
      </c>
      <c r="I26" s="24" t="s">
        <v>22</v>
      </c>
      <c r="J26" s="25" t="s">
        <v>38</v>
      </c>
      <c r="K26" s="26" t="s">
        <v>24</v>
      </c>
      <c r="L26" s="39" t="s">
        <v>29</v>
      </c>
    </row>
    <row r="27" spans="1:26" ht="26.4">
      <c r="B27" s="19">
        <f t="shared" si="0"/>
        <v>21</v>
      </c>
      <c r="C27" s="20" t="s">
        <v>138</v>
      </c>
      <c r="D27" s="20" t="s">
        <v>139</v>
      </c>
      <c r="E27" s="19" t="s">
        <v>22</v>
      </c>
      <c r="F27" s="21" t="s">
        <v>23</v>
      </c>
      <c r="G27" s="22" t="s">
        <v>24</v>
      </c>
      <c r="H27" s="23" t="s">
        <v>140</v>
      </c>
      <c r="I27" s="24" t="s">
        <v>26</v>
      </c>
      <c r="J27" s="25" t="s">
        <v>38</v>
      </c>
      <c r="K27" s="26" t="s">
        <v>28</v>
      </c>
      <c r="L27" s="39" t="s">
        <v>29</v>
      </c>
    </row>
    <row r="28" spans="1:26" ht="39.6">
      <c r="B28" s="19">
        <f t="shared" si="0"/>
        <v>22</v>
      </c>
      <c r="C28" s="20" t="s">
        <v>66</v>
      </c>
      <c r="D28" s="20" t="s">
        <v>67</v>
      </c>
      <c r="E28" s="19" t="s">
        <v>22</v>
      </c>
      <c r="F28" s="21" t="s">
        <v>23</v>
      </c>
      <c r="G28" s="22" t="s">
        <v>39</v>
      </c>
      <c r="H28" s="23" t="s">
        <v>68</v>
      </c>
      <c r="I28" s="24" t="s">
        <v>26</v>
      </c>
      <c r="J28" s="25" t="s">
        <v>38</v>
      </c>
      <c r="K28" s="26" t="s">
        <v>24</v>
      </c>
      <c r="L28" s="39" t="s">
        <v>29</v>
      </c>
    </row>
    <row r="29" spans="1:26" ht="39.6">
      <c r="B29" s="19">
        <f t="shared" si="0"/>
        <v>23</v>
      </c>
      <c r="C29" s="20" t="s">
        <v>141</v>
      </c>
      <c r="D29" s="20" t="s">
        <v>142</v>
      </c>
      <c r="E29" s="19" t="s">
        <v>36</v>
      </c>
      <c r="F29" s="21" t="s">
        <v>23</v>
      </c>
      <c r="G29" s="22" t="s">
        <v>39</v>
      </c>
      <c r="H29" s="23" t="s">
        <v>143</v>
      </c>
      <c r="I29" s="24" t="s">
        <v>22</v>
      </c>
      <c r="J29" s="25" t="s">
        <v>38</v>
      </c>
      <c r="K29" s="26" t="s">
        <v>24</v>
      </c>
      <c r="L29" s="39" t="s">
        <v>29</v>
      </c>
    </row>
    <row r="30" spans="1:26" ht="26.4">
      <c r="B30" s="19">
        <f t="shared" si="0"/>
        <v>24</v>
      </c>
      <c r="C30" s="20" t="s">
        <v>69</v>
      </c>
      <c r="D30" s="20" t="s">
        <v>70</v>
      </c>
      <c r="E30" s="19" t="s">
        <v>36</v>
      </c>
      <c r="F30" s="21" t="s">
        <v>23</v>
      </c>
      <c r="G30" s="22" t="s">
        <v>24</v>
      </c>
      <c r="H30" s="23" t="s">
        <v>71</v>
      </c>
      <c r="I30" s="24" t="s">
        <v>26</v>
      </c>
      <c r="J30" s="25" t="s">
        <v>23</v>
      </c>
      <c r="K30" s="26" t="s">
        <v>24</v>
      </c>
      <c r="L30" s="39" t="s">
        <v>29</v>
      </c>
    </row>
    <row r="31" spans="1:26" ht="39.6">
      <c r="B31" s="19">
        <f t="shared" si="0"/>
        <v>25</v>
      </c>
      <c r="C31" s="20" t="s">
        <v>146</v>
      </c>
      <c r="D31" s="20" t="s">
        <v>144</v>
      </c>
      <c r="E31" s="19" t="s">
        <v>22</v>
      </c>
      <c r="F31" s="21" t="s">
        <v>23</v>
      </c>
      <c r="G31" s="22" t="s">
        <v>24</v>
      </c>
      <c r="H31" s="23" t="s">
        <v>145</v>
      </c>
      <c r="I31" s="24" t="s">
        <v>26</v>
      </c>
      <c r="J31" s="25" t="s">
        <v>23</v>
      </c>
      <c r="K31" s="26" t="s">
        <v>28</v>
      </c>
      <c r="L31" s="39" t="s">
        <v>29</v>
      </c>
    </row>
    <row r="32" spans="1:26" ht="26.4">
      <c r="B32" s="19">
        <f t="shared" si="0"/>
        <v>26</v>
      </c>
      <c r="C32" s="20" t="s">
        <v>72</v>
      </c>
      <c r="D32" s="20" t="s">
        <v>73</v>
      </c>
      <c r="E32" s="19" t="s">
        <v>22</v>
      </c>
      <c r="F32" s="21" t="s">
        <v>23</v>
      </c>
      <c r="G32" s="22" t="s">
        <v>24</v>
      </c>
      <c r="H32" s="23" t="s">
        <v>74</v>
      </c>
      <c r="I32" s="24" t="s">
        <v>26</v>
      </c>
      <c r="J32" s="25" t="s">
        <v>23</v>
      </c>
      <c r="K32" s="26" t="s">
        <v>24</v>
      </c>
      <c r="L32" s="39" t="s">
        <v>29</v>
      </c>
    </row>
    <row r="33" spans="2:12" ht="26.4">
      <c r="B33" s="19">
        <f t="shared" si="0"/>
        <v>27</v>
      </c>
      <c r="C33" s="20" t="s">
        <v>75</v>
      </c>
      <c r="D33" s="20" t="s">
        <v>76</v>
      </c>
      <c r="E33" s="19" t="s">
        <v>22</v>
      </c>
      <c r="F33" s="21" t="s">
        <v>23</v>
      </c>
      <c r="G33" s="22" t="s">
        <v>28</v>
      </c>
      <c r="H33" s="23" t="s">
        <v>77</v>
      </c>
      <c r="I33" s="24" t="s">
        <v>26</v>
      </c>
      <c r="J33" s="25" t="s">
        <v>38</v>
      </c>
      <c r="K33" s="26" t="s">
        <v>24</v>
      </c>
      <c r="L33" s="39" t="s">
        <v>29</v>
      </c>
    </row>
    <row r="34" spans="2:12" ht="26.4">
      <c r="B34" s="19">
        <f t="shared" si="0"/>
        <v>28</v>
      </c>
      <c r="C34" s="20" t="s">
        <v>147</v>
      </c>
      <c r="D34" s="20" t="s">
        <v>148</v>
      </c>
      <c r="E34" s="19" t="s">
        <v>22</v>
      </c>
      <c r="F34" s="21" t="s">
        <v>23</v>
      </c>
      <c r="G34" s="22" t="s">
        <v>24</v>
      </c>
      <c r="H34" s="23" t="s">
        <v>149</v>
      </c>
      <c r="I34" s="24" t="s">
        <v>26</v>
      </c>
      <c r="J34" s="25" t="s">
        <v>27</v>
      </c>
      <c r="K34" s="26" t="s">
        <v>28</v>
      </c>
      <c r="L34" s="39" t="s">
        <v>29</v>
      </c>
    </row>
    <row r="35" spans="2:12" ht="26.4">
      <c r="B35" s="19">
        <f t="shared" si="0"/>
        <v>29</v>
      </c>
      <c r="C35" s="20" t="s">
        <v>78</v>
      </c>
      <c r="D35" s="20" t="s">
        <v>79</v>
      </c>
      <c r="E35" s="19" t="s">
        <v>26</v>
      </c>
      <c r="F35" s="21" t="s">
        <v>23</v>
      </c>
      <c r="G35" s="22" t="s">
        <v>28</v>
      </c>
      <c r="H35" s="23" t="s">
        <v>80</v>
      </c>
      <c r="I35" s="24" t="s">
        <v>22</v>
      </c>
      <c r="J35" s="25" t="s">
        <v>27</v>
      </c>
      <c r="K35" s="26" t="s">
        <v>28</v>
      </c>
      <c r="L35" s="39" t="s">
        <v>29</v>
      </c>
    </row>
    <row r="36" spans="2:12" ht="40.200000000000003" thickBot="1">
      <c r="B36" s="19">
        <f t="shared" si="0"/>
        <v>30</v>
      </c>
      <c r="C36" s="41" t="s">
        <v>150</v>
      </c>
      <c r="D36" s="41" t="s">
        <v>151</v>
      </c>
      <c r="E36" s="40" t="s">
        <v>22</v>
      </c>
      <c r="F36" s="42" t="s">
        <v>23</v>
      </c>
      <c r="G36" s="43" t="s">
        <v>24</v>
      </c>
      <c r="H36" s="44" t="s">
        <v>152</v>
      </c>
      <c r="I36" s="45" t="s">
        <v>26</v>
      </c>
      <c r="J36" s="46" t="s">
        <v>27</v>
      </c>
      <c r="K36" s="47" t="s">
        <v>28</v>
      </c>
      <c r="L36" s="48" t="s">
        <v>29</v>
      </c>
    </row>
    <row r="37" spans="2:12" thickTop="1">
      <c r="B37" s="19">
        <f t="shared" si="0"/>
        <v>31</v>
      </c>
      <c r="C37" s="101" t="s">
        <v>81</v>
      </c>
      <c r="D37" s="101" t="s">
        <v>82</v>
      </c>
      <c r="E37" s="100" t="s">
        <v>36</v>
      </c>
      <c r="F37" s="102" t="s">
        <v>23</v>
      </c>
      <c r="G37" s="103" t="s">
        <v>39</v>
      </c>
      <c r="H37" s="104" t="s">
        <v>83</v>
      </c>
      <c r="I37" s="105" t="s">
        <v>22</v>
      </c>
      <c r="J37" s="106" t="s">
        <v>27</v>
      </c>
      <c r="K37" s="107" t="s">
        <v>28</v>
      </c>
      <c r="L37" s="108" t="s">
        <v>29</v>
      </c>
    </row>
    <row r="38" spans="2:12" ht="15.75" customHeight="1">
      <c r="B38" s="109"/>
      <c r="C38" s="110"/>
      <c r="D38" s="110"/>
      <c r="E38" s="109"/>
      <c r="F38" s="109"/>
      <c r="G38" s="111"/>
      <c r="H38" s="110"/>
      <c r="I38" s="112"/>
      <c r="J38" s="112"/>
      <c r="K38" s="113"/>
      <c r="L38" s="114"/>
    </row>
    <row r="39" spans="2:12" ht="15.75" customHeight="1"/>
    <row r="40" spans="2:12" ht="15.75" customHeight="1"/>
    <row r="41" spans="2:12" ht="15.75" customHeight="1"/>
    <row r="42" spans="2:12" ht="15.75" customHeight="1"/>
    <row r="43" spans="2:12" ht="15.75" customHeight="1"/>
    <row r="44" spans="2:12" ht="15.75" customHeight="1"/>
    <row r="45" spans="2:12" ht="15.75" customHeight="1"/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2:K2"/>
    <mergeCell ref="C3:H3"/>
    <mergeCell ref="I3:K3"/>
    <mergeCell ref="E5:G5"/>
    <mergeCell ref="I5:K5"/>
  </mergeCells>
  <conditionalFormatting sqref="E7:E38 I7:I38">
    <cfRule type="containsText" dxfId="12" priority="1" operator="containsText" text="INTOLERABLE">
      <formula>NOT(ISERROR(SEARCH(("INTOLERABLE"),(E7))))</formula>
    </cfRule>
    <cfRule type="containsText" dxfId="11" priority="2" operator="containsText" text="UNDESIRABLE">
      <formula>NOT(ISERROR(SEARCH(("UNDESIRABLE"),(E7))))</formula>
    </cfRule>
    <cfRule type="containsText" dxfId="10" priority="3" operator="containsText" text="TOLERABLE">
      <formula>NOT(ISERROR(SEARCH(("TOLERABLE"),(E7))))</formula>
    </cfRule>
    <cfRule type="containsText" dxfId="9" priority="4" operator="containsText" text="ACCEPTABLE">
      <formula>NOT(ISERROR(SEARCH(("ACCEPTABLE"),(E7))))</formula>
    </cfRule>
  </conditionalFormatting>
  <conditionalFormatting sqref="F7:F38 J7:J38">
    <cfRule type="containsText" dxfId="8" priority="5" operator="containsText" text="POSSIBLE">
      <formula>NOT(ISERROR(SEARCH(("POSSIBLE"),(F7))))</formula>
    </cfRule>
    <cfRule type="containsText" dxfId="7" priority="6" operator="containsText" text="IMPROBABLE">
      <formula>NOT(ISERROR(SEARCH(("IMPROBABLE"),(F7))))</formula>
    </cfRule>
    <cfRule type="containsText" dxfId="6" priority="7" operator="containsText" text="PROBABLE">
      <formula>NOT(ISERROR(SEARCH(("PROBABLE"),(F7))))</formula>
    </cfRule>
  </conditionalFormatting>
  <conditionalFormatting sqref="G7:G38 K7:K38">
    <cfRule type="containsText" dxfId="5" priority="8" operator="containsText" text="LOW">
      <formula>NOT(ISERROR(SEARCH(("LOW"),(G7))))</formula>
    </cfRule>
    <cfRule type="containsText" dxfId="4" priority="9" operator="containsText" text="MEDIUM">
      <formula>NOT(ISERROR(SEARCH(("MEDIUM"),(G7))))</formula>
    </cfRule>
    <cfRule type="containsText" dxfId="3" priority="10" operator="containsText" text="HIGH">
      <formula>NOT(ISERROR(SEARCH(("HIGH"),(G7))))</formula>
    </cfRule>
    <cfRule type="containsText" dxfId="2" priority="11" operator="containsText" text="EXTREME">
      <formula>NOT(ISERROR(SEARCH(("EXTREME"),(G7))))</formula>
    </cfRule>
  </conditionalFormatting>
  <conditionalFormatting sqref="L7:L38">
    <cfRule type="containsText" dxfId="1" priority="12" operator="containsText" text="NO">
      <formula>NOT(ISERROR(SEARCH(("NO"),(L7))))</formula>
    </cfRule>
    <cfRule type="containsText" dxfId="0" priority="13" operator="containsText" text="YES">
      <formula>NOT(ISERROR(SEARCH(("YES"),(L7))))</formula>
    </cfRule>
  </conditionalFormatting>
  <dataValidations count="4">
    <dataValidation type="list" allowBlank="1" showErrorMessage="1" sqref="F7:F38 J7:J38" xr:uid="{00000000-0002-0000-0000-000000000000}">
      <formula1>$R$7:$R$9</formula1>
    </dataValidation>
    <dataValidation type="list" allowBlank="1" showErrorMessage="1" sqref="E7:E38 I7:I38" xr:uid="{00000000-0002-0000-0000-000001000000}">
      <formula1>$P$7:$P$10</formula1>
    </dataValidation>
    <dataValidation type="list" allowBlank="1" showErrorMessage="1" sqref="G7:G38 K7:K38" xr:uid="{00000000-0002-0000-0000-000002000000}">
      <formula1>$T$7:$T$10</formula1>
    </dataValidation>
    <dataValidation type="list" allowBlank="1" showErrorMessage="1" sqref="L7:L38" xr:uid="{00000000-0002-0000-0000-000003000000}">
      <formula1>$V$7:$V$8</formula1>
    </dataValidation>
  </dataValidations>
  <pageMargins left="0.4" right="0.4" top="0.4" bottom="0.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workbookViewId="0"/>
  </sheetViews>
  <sheetFormatPr baseColWidth="10" defaultColWidth="14.44140625" defaultRowHeight="15" customHeight="1"/>
  <cols>
    <col min="1" max="1" width="3.33203125" customWidth="1"/>
    <col min="2" max="2" width="5.44140625" customWidth="1"/>
    <col min="3" max="7" width="18.88671875" customWidth="1"/>
    <col min="8" max="26" width="8.88671875" customWidth="1"/>
  </cols>
  <sheetData>
    <row r="1" spans="1:26" ht="14.4">
      <c r="B1" s="49"/>
      <c r="C1" s="49"/>
      <c r="D1" s="49"/>
      <c r="E1" s="49"/>
      <c r="F1" s="49"/>
      <c r="G1" s="49"/>
    </row>
    <row r="2" spans="1:26" ht="43.5" customHeight="1">
      <c r="B2" s="91" t="s">
        <v>84</v>
      </c>
      <c r="C2" s="77"/>
      <c r="D2" s="50" t="s">
        <v>85</v>
      </c>
      <c r="E2" s="51" t="s">
        <v>86</v>
      </c>
      <c r="F2" s="52" t="s">
        <v>87</v>
      </c>
      <c r="G2" s="53" t="s">
        <v>88</v>
      </c>
    </row>
    <row r="3" spans="1:26" ht="45.75" customHeight="1">
      <c r="B3" s="77"/>
      <c r="C3" s="77"/>
      <c r="D3" s="54" t="s">
        <v>26</v>
      </c>
      <c r="E3" s="55" t="s">
        <v>89</v>
      </c>
      <c r="F3" s="56" t="s">
        <v>90</v>
      </c>
      <c r="G3" s="57" t="s">
        <v>43</v>
      </c>
    </row>
    <row r="4" spans="1:26" ht="9" customHeight="1">
      <c r="A4" s="58"/>
      <c r="B4" s="77"/>
      <c r="C4" s="77"/>
      <c r="D4" s="59"/>
      <c r="E4" s="60"/>
      <c r="F4" s="61"/>
      <c r="G4" s="62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41.4">
      <c r="A5" s="58"/>
      <c r="B5" s="77"/>
      <c r="C5" s="77"/>
      <c r="D5" s="63" t="s">
        <v>91</v>
      </c>
      <c r="E5" s="64" t="s">
        <v>92</v>
      </c>
      <c r="F5" s="65" t="s">
        <v>93</v>
      </c>
      <c r="G5" s="66" t="s">
        <v>94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4.4">
      <c r="B6" s="67"/>
      <c r="C6" s="67"/>
      <c r="D6" s="67"/>
      <c r="E6" s="67"/>
      <c r="F6" s="67"/>
      <c r="G6" s="67"/>
    </row>
    <row r="7" spans="1:26" ht="33" customHeight="1">
      <c r="A7" s="68"/>
      <c r="B7" s="92"/>
      <c r="C7" s="93"/>
      <c r="D7" s="96" t="s">
        <v>95</v>
      </c>
      <c r="E7" s="97"/>
      <c r="F7" s="97"/>
      <c r="G7" s="97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49.5" customHeight="1">
      <c r="B8" s="77"/>
      <c r="C8" s="93"/>
      <c r="D8" s="69" t="s">
        <v>96</v>
      </c>
      <c r="E8" s="70" t="s">
        <v>97</v>
      </c>
      <c r="F8" s="70" t="s">
        <v>98</v>
      </c>
      <c r="G8" s="70" t="s">
        <v>99</v>
      </c>
    </row>
    <row r="9" spans="1:26" ht="64.5" customHeight="1">
      <c r="B9" s="94"/>
      <c r="C9" s="95"/>
      <c r="D9" s="71" t="s">
        <v>100</v>
      </c>
      <c r="E9" s="72" t="s">
        <v>101</v>
      </c>
      <c r="F9" s="72" t="s">
        <v>102</v>
      </c>
      <c r="G9" s="72" t="s">
        <v>103</v>
      </c>
    </row>
    <row r="10" spans="1:26" ht="49.5" customHeight="1">
      <c r="B10" s="98" t="s">
        <v>104</v>
      </c>
      <c r="C10" s="73" t="s">
        <v>105</v>
      </c>
      <c r="D10" s="86" t="s">
        <v>85</v>
      </c>
      <c r="E10" s="88" t="s">
        <v>86</v>
      </c>
      <c r="F10" s="88" t="s">
        <v>86</v>
      </c>
      <c r="G10" s="89" t="s">
        <v>87</v>
      </c>
    </row>
    <row r="11" spans="1:26" ht="49.5" customHeight="1">
      <c r="B11" s="99"/>
      <c r="C11" s="71" t="s">
        <v>106</v>
      </c>
      <c r="D11" s="87"/>
      <c r="E11" s="87"/>
      <c r="F11" s="87"/>
      <c r="G11" s="87"/>
    </row>
    <row r="12" spans="1:26" ht="49.5" customHeight="1">
      <c r="B12" s="99"/>
      <c r="C12" s="74" t="s">
        <v>107</v>
      </c>
      <c r="D12" s="86" t="s">
        <v>85</v>
      </c>
      <c r="E12" s="88" t="s">
        <v>86</v>
      </c>
      <c r="F12" s="89" t="s">
        <v>87</v>
      </c>
      <c r="G12" s="90" t="s">
        <v>88</v>
      </c>
    </row>
    <row r="13" spans="1:26" ht="49.5" customHeight="1">
      <c r="A13" s="68"/>
      <c r="B13" s="99"/>
      <c r="C13" s="71" t="s">
        <v>108</v>
      </c>
      <c r="D13" s="87"/>
      <c r="E13" s="87"/>
      <c r="F13" s="87"/>
      <c r="G13" s="87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49.5" customHeight="1">
      <c r="A14" s="68"/>
      <c r="B14" s="99"/>
      <c r="C14" s="74" t="s">
        <v>109</v>
      </c>
      <c r="D14" s="88" t="s">
        <v>86</v>
      </c>
      <c r="E14" s="89" t="s">
        <v>87</v>
      </c>
      <c r="F14" s="89" t="s">
        <v>87</v>
      </c>
      <c r="G14" s="90" t="s">
        <v>88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49.5" customHeight="1">
      <c r="A15" s="68"/>
      <c r="B15" s="99"/>
      <c r="C15" s="71" t="s">
        <v>110</v>
      </c>
      <c r="D15" s="87"/>
      <c r="E15" s="87"/>
      <c r="F15" s="87"/>
      <c r="G15" s="87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39.75" customHeight="1">
      <c r="B16" s="75"/>
      <c r="C16" s="75"/>
      <c r="D16" s="75"/>
    </row>
    <row r="17" spans="2:7" ht="14.4">
      <c r="B17" s="75"/>
      <c r="C17" s="75"/>
      <c r="D17" s="75"/>
      <c r="E17" s="75"/>
      <c r="F17" s="75"/>
      <c r="G17" s="75"/>
    </row>
    <row r="18" spans="2:7" ht="14.4">
      <c r="B18" s="75"/>
      <c r="C18" s="75"/>
      <c r="D18" s="75"/>
      <c r="E18" s="75"/>
      <c r="F18" s="75"/>
      <c r="G18" s="75"/>
    </row>
    <row r="19" spans="2:7" ht="14.4">
      <c r="B19" s="75"/>
      <c r="C19" s="75"/>
      <c r="D19" s="75"/>
      <c r="E19" s="75"/>
      <c r="F19" s="75"/>
      <c r="G19" s="75"/>
    </row>
    <row r="21" spans="2:7" ht="15.75" customHeight="1"/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14:D15"/>
    <mergeCell ref="E14:E15"/>
    <mergeCell ref="F14:F15"/>
    <mergeCell ref="G14:G15"/>
    <mergeCell ref="B2:C5"/>
    <mergeCell ref="B7:C9"/>
    <mergeCell ref="D7:G7"/>
    <mergeCell ref="B10:B15"/>
    <mergeCell ref="F10:F11"/>
    <mergeCell ref="G10:G11"/>
    <mergeCell ref="G12:G13"/>
    <mergeCell ref="D10:D11"/>
    <mergeCell ref="D12:D13"/>
    <mergeCell ref="E12:E13"/>
    <mergeCell ref="F12:F13"/>
    <mergeCell ref="E10:E11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 Risk Assessment</vt:lpstr>
      <vt:lpstr>KEY - Risk Assessment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Banoy</cp:lastModifiedBy>
  <dcterms:modified xsi:type="dcterms:W3CDTF">2026-03-16T17:12:28Z</dcterms:modified>
</cp:coreProperties>
</file>