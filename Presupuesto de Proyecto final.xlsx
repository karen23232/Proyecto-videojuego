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37d05b01d9c7dab/Documentos/"/>
    </mc:Choice>
  </mc:AlternateContent>
  <xr:revisionPtr revIDLastSave="0" documentId="8_{169BBC01-56CA-429E-93BA-BC67C2AA54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supuesto del proyecto" sheetId="1" r:id="rId1"/>
    <sheet name="listas desplegables" sheetId="2" r:id="rId2"/>
  </sheets>
  <definedNames>
    <definedName name="Priority">#REF!</definedName>
    <definedName name="Status">'listas desplegables'!$D$5:$D$7</definedName>
    <definedName name="YesNo">'listas desplegables'!$B$5:$B$6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1" l="1"/>
  <c r="S27" i="1"/>
  <c r="S28" i="1"/>
  <c r="S29" i="1"/>
  <c r="S30" i="1"/>
  <c r="M27" i="1"/>
  <c r="M28" i="1"/>
  <c r="M29" i="1"/>
  <c r="M30" i="1"/>
  <c r="J27" i="1"/>
  <c r="J28" i="1"/>
  <c r="J31" i="1"/>
  <c r="J30" i="1"/>
  <c r="Q31" i="1"/>
  <c r="P31" i="1"/>
  <c r="O31" i="1"/>
  <c r="N31" i="1"/>
  <c r="M31" i="1"/>
  <c r="S26" i="1"/>
  <c r="S23" i="1"/>
  <c r="S24" i="1"/>
  <c r="S25" i="1"/>
  <c r="M23" i="1"/>
  <c r="M24" i="1"/>
  <c r="M25" i="1"/>
  <c r="M26" i="1"/>
  <c r="J23" i="1"/>
  <c r="J24" i="1"/>
  <c r="J25" i="1"/>
  <c r="J26" i="1"/>
  <c r="J19" i="1"/>
  <c r="M19" i="1"/>
  <c r="M8" i="1"/>
  <c r="S22" i="1"/>
  <c r="M22" i="1"/>
  <c r="J22" i="1"/>
  <c r="M21" i="1"/>
  <c r="J21" i="1"/>
  <c r="M20" i="1"/>
  <c r="J20" i="1"/>
  <c r="Q14" i="1"/>
  <c r="P14" i="1"/>
  <c r="O14" i="1"/>
  <c r="N14" i="1"/>
  <c r="M13" i="1"/>
  <c r="J13" i="1"/>
  <c r="M12" i="1"/>
  <c r="J12" i="1"/>
  <c r="M11" i="1"/>
  <c r="J11" i="1"/>
  <c r="M10" i="1"/>
  <c r="J10" i="1"/>
  <c r="M9" i="1"/>
  <c r="J9" i="1"/>
  <c r="J8" i="1"/>
  <c r="M7" i="1"/>
  <c r="J7" i="1"/>
  <c r="R7" i="1" s="1"/>
  <c r="S7" i="1" s="1"/>
  <c r="M6" i="1"/>
  <c r="J6" i="1"/>
  <c r="M5" i="1"/>
  <c r="J5" i="1"/>
  <c r="R31" i="1" l="1"/>
  <c r="S31" i="1" s="1"/>
  <c r="R13" i="1"/>
  <c r="S13" i="1" s="1"/>
  <c r="R10" i="1"/>
  <c r="S10" i="1" s="1"/>
  <c r="R9" i="1"/>
  <c r="S9" i="1" s="1"/>
  <c r="R6" i="1"/>
  <c r="S6" i="1" s="1"/>
  <c r="R11" i="1"/>
  <c r="S11" i="1" s="1"/>
  <c r="R20" i="1"/>
  <c r="S20" i="1" s="1"/>
  <c r="M14" i="1"/>
  <c r="R12" i="1"/>
  <c r="S12" i="1" s="1"/>
  <c r="R8" i="1"/>
  <c r="S8" i="1" s="1"/>
  <c r="J14" i="1"/>
  <c r="R19" i="1"/>
  <c r="S19" i="1" s="1"/>
  <c r="R21" i="1"/>
  <c r="S21" i="1" s="1"/>
  <c r="R5" i="1"/>
  <c r="S5" i="1" s="1"/>
  <c r="R14" i="1" l="1"/>
  <c r="S14" i="1" s="1"/>
</calcChain>
</file>

<file path=xl/sharedStrings.xml><?xml version="1.0" encoding="utf-8"?>
<sst xmlns="http://schemas.openxmlformats.org/spreadsheetml/2006/main" count="132" uniqueCount="84">
  <si>
    <t>Nombres: Karen Daniela Ruiz Madrigal, Juan Andres Quiceno Banoy, Juan Sebastian Delgado Inocencio, Andres Felipe Piñeros Lozano</t>
  </si>
  <si>
    <t>Presupuesto de Proyecto</t>
  </si>
  <si>
    <t>El usuario debe completar solo las celdas no sombreadas.</t>
  </si>
  <si>
    <t>Mano de Obra</t>
  </si>
  <si>
    <t>Materiales</t>
  </si>
  <si>
    <t>Costos Fijos</t>
  </si>
  <si>
    <t>Balance</t>
  </si>
  <si>
    <t>TAREA</t>
  </si>
  <si>
    <t>DESCRIPCION</t>
  </si>
  <si>
    <t>ESTADO</t>
  </si>
  <si>
    <t>FECHA INICIO PLANIFICADA</t>
  </si>
  <si>
    <t>FECHA INICIO REAL</t>
  </si>
  <si>
    <t>FECHA FIN</t>
  </si>
  <si>
    <t>HORAS</t>
  </si>
  <si>
    <t>VALOR HORA</t>
  </si>
  <si>
    <t>TOTAL MANO DE OBRA</t>
  </si>
  <si>
    <t>UNIDADES</t>
  </si>
  <si>
    <t>VALOR UNIDAD</t>
  </si>
  <si>
    <t>TOTAL MATERIALES</t>
  </si>
  <si>
    <t>VIAJES</t>
  </si>
  <si>
    <t>EQUIPOS</t>
  </si>
  <si>
    <t>MISCELANEOS</t>
  </si>
  <si>
    <t>PRESUPUESTO</t>
  </si>
  <si>
    <t>REAL</t>
  </si>
  <si>
    <t>Diferencia (Menos / Más del Presupuesto)</t>
  </si>
  <si>
    <t>PROJECT 1</t>
  </si>
  <si>
    <t>Configurar proyecto</t>
  </si>
  <si>
    <t>Configurar proyecto en Unreal</t>
  </si>
  <si>
    <t>En Progreso</t>
  </si>
  <si>
    <t>Planeación del proyecto</t>
  </si>
  <si>
    <t>Organización general</t>
  </si>
  <si>
    <t>Análisis de requisitos</t>
  </si>
  <si>
    <t>Requisitos funcionales</t>
  </si>
  <si>
    <t>Diseño del sistema</t>
  </si>
  <si>
    <t>Arquitectura</t>
  </si>
  <si>
    <t>Diseño del juego</t>
  </si>
  <si>
    <t>Mecánicas y UI</t>
  </si>
  <si>
    <t>Preparación técnica</t>
  </si>
  <si>
    <t>No Iniciado</t>
  </si>
  <si>
    <t>Programar</t>
  </si>
  <si>
    <t>Gameplay</t>
  </si>
  <si>
    <t>Desarrollo</t>
  </si>
  <si>
    <t>Frontend juego</t>
  </si>
  <si>
    <t>Diseño escenarios</t>
  </si>
  <si>
    <t>Escenario universidad</t>
  </si>
  <si>
    <t>SUBTOTAL</t>
  </si>
  <si>
    <t>PROJECT 2</t>
  </si>
  <si>
    <t>Assets opcionales</t>
  </si>
  <si>
    <t>Sillas, mesas, props etc...</t>
  </si>
  <si>
    <t>Reuniones de equipo</t>
  </si>
  <si>
    <t>Coordinación y planificación</t>
  </si>
  <si>
    <t>Pruebas del juego</t>
  </si>
  <si>
    <t>Testing</t>
  </si>
  <si>
    <t>listas desplegables</t>
  </si>
  <si>
    <t>SI / NO</t>
  </si>
  <si>
    <t>PRIORIDAD</t>
  </si>
  <si>
    <t>Si</t>
  </si>
  <si>
    <t>Baja</t>
  </si>
  <si>
    <t>No</t>
  </si>
  <si>
    <t>Media</t>
  </si>
  <si>
    <t>Alta</t>
  </si>
  <si>
    <t>Completo</t>
  </si>
  <si>
    <t>Requiere Revisión</t>
  </si>
  <si>
    <t>Aprobado</t>
  </si>
  <si>
    <t>Atrasado</t>
  </si>
  <si>
    <t>En Espera</t>
  </si>
  <si>
    <t>05/04/206</t>
  </si>
  <si>
    <t>Despliegue del juego</t>
  </si>
  <si>
    <t>Sacar el juego</t>
  </si>
  <si>
    <t>Diseño y maquetado sitio web del juego</t>
  </si>
  <si>
    <t>Programación frontend/backend web</t>
  </si>
  <si>
    <t>Desarrollo web</t>
  </si>
  <si>
    <t>Horas extras de desarrollo</t>
  </si>
  <si>
    <t>Consumo de internet</t>
  </si>
  <si>
    <t>Consumo de energía</t>
  </si>
  <si>
    <t>Herramientas de diseño y plugins</t>
  </si>
  <si>
    <t>Investigación y aprendizaje</t>
  </si>
  <si>
    <t>Fondo de contingencia</t>
  </si>
  <si>
    <t>mas horas</t>
  </si>
  <si>
    <t>gastado</t>
  </si>
  <si>
    <t>gastado de internet</t>
  </si>
  <si>
    <t>herramientas necesarias</t>
  </si>
  <si>
    <t>aprender</t>
  </si>
  <si>
    <t>imprevistos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</si>
</sst>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/dd/yy"/>
    <numFmt numFmtId="165" formatCode="d/m/yyyy"/>
    <numFmt numFmtId="166" formatCode="0.0"/>
    <numFmt numFmtId="167" formatCode="&quot;$&quot;#,##0.00_);\(&quot;$&quot;#,##0.00\)"/>
    <numFmt numFmtId="168" formatCode="&quot;$&quot;#,##0_);\(&quot;$&quot;#,##0\)"/>
    <numFmt numFmtId="169" formatCode="_(&quot;$&quot;* #,##0_);_(&quot;$&quot;* \(#,##0\);_(&quot;$&quot;* &quot;-&quot;??_);_(@_)"/>
    <numFmt numFmtId="170" formatCode="_(* #,##0.00_);_(* \(#,##0.00\);_(* &quot;-&quot;??_);_(@_)"/>
  </numFmts>
  <fonts count="18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Century Gothic"/>
    </font>
    <font>
      <b/>
      <sz val="24"/>
      <color rgb="FF595959"/>
      <name val="Century Gothic"/>
    </font>
    <font>
      <b/>
      <sz val="22"/>
      <color rgb="FF595959"/>
      <name val="Century Gothic"/>
    </font>
    <font>
      <b/>
      <sz val="20"/>
      <color rgb="FF7F7F7F"/>
      <name val="Century Gothic"/>
    </font>
    <font>
      <sz val="12"/>
      <color rgb="FF595959"/>
      <name val="Century Gothic"/>
    </font>
    <font>
      <b/>
      <sz val="10"/>
      <color theme="0"/>
      <name val="Century Gothic"/>
    </font>
    <font>
      <sz val="12"/>
      <name val="Calibri"/>
    </font>
    <font>
      <sz val="12"/>
      <color theme="1"/>
      <name val="Calibri"/>
      <scheme val="minor"/>
    </font>
    <font>
      <sz val="10"/>
      <color theme="0"/>
      <name val="Century Gothic"/>
    </font>
    <font>
      <b/>
      <sz val="10"/>
      <color rgb="FFFFFFFF"/>
      <name val="Century Gothic"/>
    </font>
    <font>
      <b/>
      <sz val="10"/>
      <color theme="1"/>
      <name val="Century Gothic"/>
    </font>
    <font>
      <sz val="11"/>
      <color rgb="FF000000"/>
      <name val="Calibri"/>
    </font>
    <font>
      <sz val="22"/>
      <color rgb="FF595959"/>
      <name val="Century Gothic"/>
    </font>
    <font>
      <sz val="10"/>
      <color rgb="FF000000"/>
      <name val="Century Gothic"/>
    </font>
    <font>
      <sz val="11"/>
      <color rgb="FF000000"/>
      <name val="Century Gothic"/>
    </font>
    <font>
      <sz val="10"/>
      <color theme="1"/>
      <name val="Century Gothic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95959"/>
        <bgColor rgb="FF595959"/>
      </patternFill>
    </fill>
    <fill>
      <patternFill patternType="solid">
        <fgColor rgb="FF333F4F"/>
        <bgColor rgb="FF333F4F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44546A"/>
        <bgColor rgb="FF44546A"/>
      </patternFill>
    </fill>
    <fill>
      <patternFill patternType="solid">
        <fgColor rgb="FFB6FBF5"/>
        <bgColor rgb="FFB6FBF5"/>
      </patternFill>
    </fill>
    <fill>
      <patternFill patternType="solid">
        <fgColor rgb="FF00EAF0"/>
        <bgColor rgb="FF00EAF0"/>
      </patternFill>
    </fill>
    <fill>
      <patternFill patternType="solid">
        <fgColor rgb="FFFEF2CB"/>
        <bgColor rgb="FFFEF2CB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ABEFEA"/>
        <bgColor rgb="FFABEFEA"/>
      </patternFill>
    </fill>
    <fill>
      <patternFill patternType="solid">
        <fgColor rgb="FF5EE9E7"/>
        <bgColor rgb="FF5EE9E7"/>
      </patternFill>
    </fill>
    <fill>
      <patternFill patternType="solid">
        <fgColor rgb="FFFFD965"/>
        <bgColor rgb="FFFFD965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FFA5A5A5"/>
      </right>
      <top/>
      <bottom/>
      <diagonal/>
    </border>
    <border>
      <left/>
      <right/>
      <top style="medium">
        <color rgb="FFA5A5A5"/>
      </top>
      <bottom style="thin">
        <color rgb="FFBFBFBF"/>
      </bottom>
      <diagonal/>
    </border>
    <border>
      <left/>
      <right/>
      <top style="medium">
        <color rgb="FFA5A5A5"/>
      </top>
      <bottom style="thin">
        <color rgb="FFBFBFBF"/>
      </bottom>
      <diagonal/>
    </border>
    <border>
      <left/>
      <right style="thin">
        <color rgb="FFBFBFBF"/>
      </right>
      <top style="medium">
        <color rgb="FFA5A5A5"/>
      </top>
      <bottom style="thin">
        <color rgb="FFBFBFBF"/>
      </bottom>
      <diagonal/>
    </border>
    <border>
      <left style="thin">
        <color rgb="FFBFBFBF"/>
      </left>
      <right/>
      <top style="medium">
        <color rgb="FFA5A5A5"/>
      </top>
      <bottom style="thin">
        <color rgb="FFBFBFBF"/>
      </bottom>
      <diagonal/>
    </border>
    <border>
      <left/>
      <right style="double">
        <color rgb="FFA5A5A5"/>
      </right>
      <top style="medium">
        <color rgb="FFA5A5A5"/>
      </top>
      <bottom style="thin">
        <color rgb="FFBFBFBF"/>
      </bottom>
      <diagonal/>
    </border>
    <border>
      <left style="double">
        <color rgb="FFA5A5A5"/>
      </left>
      <right/>
      <top style="medium">
        <color rgb="FFA5A5A5"/>
      </top>
      <bottom style="thin">
        <color rgb="FFBFBFBF"/>
      </bottom>
      <diagonal/>
    </border>
    <border>
      <left/>
      <right style="medium">
        <color rgb="FFA5A5A5"/>
      </right>
      <top style="medium">
        <color rgb="FFA5A5A5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dotted">
        <color rgb="FFA5A5A5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double">
        <color rgb="FFA5A5A5"/>
      </right>
      <top style="thin">
        <color rgb="FFBFBFBF"/>
      </top>
      <bottom style="thin">
        <color rgb="FFBFBFBF"/>
      </bottom>
      <diagonal/>
    </border>
    <border>
      <left style="double">
        <color rgb="FFA5A5A5"/>
      </left>
      <right style="dotted">
        <color rgb="FFA5A5A5"/>
      </right>
      <top style="thin">
        <color rgb="FFBFBFBF"/>
      </top>
      <bottom style="thin">
        <color rgb="FFBFBFBF"/>
      </bottom>
      <diagonal/>
    </border>
    <border>
      <left/>
      <right style="medium">
        <color rgb="FFA5A5A5"/>
      </right>
      <top style="thin">
        <color rgb="FFBFBFBF"/>
      </top>
      <bottom style="thin">
        <color rgb="FFBFBFBF"/>
      </bottom>
      <diagonal/>
    </border>
    <border>
      <left/>
      <right style="medium">
        <color rgb="FFA5A5A5"/>
      </right>
      <top/>
      <bottom style="thin">
        <color rgb="FFBFBFBF"/>
      </bottom>
      <diagonal/>
    </border>
    <border>
      <left style="thin">
        <color rgb="FFBFBFBF"/>
      </left>
      <right style="dotted">
        <color rgb="FFA5A5A5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  <diagonal/>
    </border>
    <border>
      <left style="dotted">
        <color rgb="FFA5A5A5"/>
      </left>
      <right/>
      <top style="medium">
        <color rgb="FFA5A5A5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</borders>
  <cellStyleXfs count="2">
    <xf numFmtId="0" fontId="0" fillId="0" borderId="0"/>
    <xf numFmtId="0" fontId="1" fillId="0" borderId="1"/>
  </cellStyleXfs>
  <cellXfs count="102"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horizontal="left" vertical="center" wrapText="1"/>
    </xf>
    <xf numFmtId="0" fontId="7" fillId="4" borderId="11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left" vertical="center" wrapText="1"/>
    </xf>
    <xf numFmtId="0" fontId="7" fillId="4" borderId="13" xfId="0" applyFont="1" applyFill="1" applyBorder="1" applyAlignment="1">
      <alignment horizontal="left" vertical="center" wrapText="1"/>
    </xf>
    <xf numFmtId="0" fontId="7" fillId="4" borderId="14" xfId="0" applyFont="1" applyFill="1" applyBorder="1" applyAlignment="1">
      <alignment horizontal="left" vertical="center" wrapText="1"/>
    </xf>
    <xf numFmtId="0" fontId="7" fillId="4" borderId="15" xfId="0" applyFont="1" applyFill="1" applyBorder="1" applyAlignment="1">
      <alignment horizontal="left" vertical="center" wrapText="1"/>
    </xf>
    <xf numFmtId="0" fontId="7" fillId="4" borderId="16" xfId="0" applyFont="1" applyFill="1" applyBorder="1" applyAlignment="1">
      <alignment horizontal="left" vertical="center" wrapText="1"/>
    </xf>
    <xf numFmtId="0" fontId="7" fillId="4" borderId="17" xfId="0" applyFont="1" applyFill="1" applyBorder="1" applyAlignment="1">
      <alignment horizontal="left" vertical="center" wrapText="1"/>
    </xf>
    <xf numFmtId="0" fontId="2" fillId="5" borderId="13" xfId="0" applyFont="1" applyFill="1" applyBorder="1" applyAlignment="1">
      <alignment horizontal="left" vertical="center" wrapText="1"/>
    </xf>
    <xf numFmtId="164" fontId="2" fillId="5" borderId="13" xfId="0" applyNumberFormat="1" applyFont="1" applyFill="1" applyBorder="1" applyAlignment="1">
      <alignment horizontal="left" vertical="center" wrapText="1"/>
    </xf>
    <xf numFmtId="164" fontId="2" fillId="5" borderId="18" xfId="0" applyNumberFormat="1" applyFont="1" applyFill="1" applyBorder="1" applyAlignment="1">
      <alignment horizontal="left" vertical="center" wrapText="1"/>
    </xf>
    <xf numFmtId="0" fontId="2" fillId="5" borderId="12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2" fillId="5" borderId="14" xfId="0" applyFont="1" applyFill="1" applyBorder="1" applyAlignment="1">
      <alignment horizontal="left" vertical="center"/>
    </xf>
    <xf numFmtId="0" fontId="2" fillId="5" borderId="15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165" fontId="2" fillId="0" borderId="13" xfId="0" applyNumberFormat="1" applyFont="1" applyBorder="1" applyAlignment="1">
      <alignment horizontal="left" vertical="center" wrapText="1"/>
    </xf>
    <xf numFmtId="166" fontId="9" fillId="0" borderId="0" xfId="0" applyNumberFormat="1" applyFont="1" applyAlignment="1">
      <alignment horizontal="left"/>
    </xf>
    <xf numFmtId="167" fontId="2" fillId="0" borderId="13" xfId="0" applyNumberFormat="1" applyFont="1" applyBorder="1" applyAlignment="1">
      <alignment horizontal="left" vertical="center"/>
    </xf>
    <xf numFmtId="168" fontId="2" fillId="5" borderId="13" xfId="0" applyNumberFormat="1" applyFont="1" applyFill="1" applyBorder="1" applyAlignment="1">
      <alignment horizontal="left" vertical="center"/>
    </xf>
    <xf numFmtId="166" fontId="2" fillId="0" borderId="13" xfId="0" applyNumberFormat="1" applyFont="1" applyBorder="1" applyAlignment="1">
      <alignment horizontal="left" vertical="center"/>
    </xf>
    <xf numFmtId="167" fontId="9" fillId="0" borderId="0" xfId="0" applyNumberFormat="1" applyFont="1" applyAlignment="1">
      <alignment horizontal="left"/>
    </xf>
    <xf numFmtId="168" fontId="2" fillId="0" borderId="13" xfId="0" applyNumberFormat="1" applyFont="1" applyBorder="1" applyAlignment="1">
      <alignment horizontal="left" vertical="center"/>
    </xf>
    <xf numFmtId="168" fontId="2" fillId="0" borderId="14" xfId="0" applyNumberFormat="1" applyFont="1" applyBorder="1" applyAlignment="1">
      <alignment horizontal="left" vertical="center"/>
    </xf>
    <xf numFmtId="169" fontId="9" fillId="0" borderId="0" xfId="0" applyNumberFormat="1" applyFont="1" applyAlignment="1">
      <alignment horizontal="left"/>
    </xf>
    <xf numFmtId="169" fontId="2" fillId="6" borderId="16" xfId="0" applyNumberFormat="1" applyFont="1" applyFill="1" applyBorder="1" applyAlignment="1">
      <alignment horizontal="left" vertical="center"/>
    </xf>
    <xf numFmtId="169" fontId="2" fillId="7" borderId="16" xfId="0" applyNumberFormat="1" applyFont="1" applyFill="1" applyBorder="1" applyAlignment="1">
      <alignment horizontal="left" vertical="center"/>
    </xf>
    <xf numFmtId="165" fontId="2" fillId="0" borderId="18" xfId="0" applyNumberFormat="1" applyFont="1" applyBorder="1" applyAlignment="1">
      <alignment horizontal="left" vertical="center" wrapText="1"/>
    </xf>
    <xf numFmtId="166" fontId="2" fillId="0" borderId="19" xfId="0" applyNumberFormat="1" applyFont="1" applyBorder="1" applyAlignment="1">
      <alignment horizontal="left" vertical="center"/>
    </xf>
    <xf numFmtId="169" fontId="2" fillId="0" borderId="15" xfId="0" applyNumberFormat="1" applyFont="1" applyBorder="1" applyAlignment="1">
      <alignment horizontal="left" vertical="center"/>
    </xf>
    <xf numFmtId="0" fontId="7" fillId="8" borderId="13" xfId="0" applyFont="1" applyFill="1" applyBorder="1" applyAlignment="1">
      <alignment horizontal="left" vertical="center" wrapText="1"/>
    </xf>
    <xf numFmtId="0" fontId="10" fillId="8" borderId="13" xfId="0" applyFont="1" applyFill="1" applyBorder="1" applyAlignment="1">
      <alignment horizontal="left" vertical="center" wrapText="1"/>
    </xf>
    <xf numFmtId="164" fontId="7" fillId="8" borderId="13" xfId="0" applyNumberFormat="1" applyFont="1" applyFill="1" applyBorder="1" applyAlignment="1">
      <alignment horizontal="left" vertical="center" wrapText="1"/>
    </xf>
    <xf numFmtId="14" fontId="11" fillId="8" borderId="18" xfId="0" applyNumberFormat="1" applyFont="1" applyFill="1" applyBorder="1" applyAlignment="1">
      <alignment horizontal="left" vertical="center" wrapText="1"/>
    </xf>
    <xf numFmtId="166" fontId="2" fillId="8" borderId="12" xfId="0" applyNumberFormat="1" applyFont="1" applyFill="1" applyBorder="1" applyAlignment="1">
      <alignment horizontal="left" vertical="center"/>
    </xf>
    <xf numFmtId="167" fontId="7" fillId="8" borderId="13" xfId="0" applyNumberFormat="1" applyFont="1" applyFill="1" applyBorder="1" applyAlignment="1">
      <alignment horizontal="left" vertical="center"/>
    </xf>
    <xf numFmtId="168" fontId="7" fillId="8" borderId="13" xfId="0" applyNumberFormat="1" applyFont="1" applyFill="1" applyBorder="1" applyAlignment="1">
      <alignment horizontal="left" vertical="center"/>
    </xf>
    <xf numFmtId="168" fontId="7" fillId="8" borderId="14" xfId="0" applyNumberFormat="1" applyFont="1" applyFill="1" applyBorder="1" applyAlignment="1">
      <alignment horizontal="left" vertical="center"/>
    </xf>
    <xf numFmtId="169" fontId="7" fillId="8" borderId="15" xfId="0" applyNumberFormat="1" applyFont="1" applyFill="1" applyBorder="1" applyAlignment="1">
      <alignment horizontal="left" vertical="center"/>
    </xf>
    <xf numFmtId="169" fontId="7" fillId="8" borderId="16" xfId="0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 wrapText="1"/>
    </xf>
    <xf numFmtId="166" fontId="2" fillId="2" borderId="1" xfId="0" applyNumberFormat="1" applyFont="1" applyFill="1" applyBorder="1" applyAlignment="1">
      <alignment horizontal="left" vertical="center" wrapText="1"/>
    </xf>
    <xf numFmtId="167" fontId="2" fillId="2" borderId="1" xfId="0" applyNumberFormat="1" applyFont="1" applyFill="1" applyBorder="1" applyAlignment="1">
      <alignment horizontal="left" vertical="center" wrapText="1"/>
    </xf>
    <xf numFmtId="170" fontId="2" fillId="2" borderId="1" xfId="0" applyNumberFormat="1" applyFont="1" applyFill="1" applyBorder="1" applyAlignment="1">
      <alignment horizontal="left" vertical="center" wrapText="1"/>
    </xf>
    <xf numFmtId="170" fontId="12" fillId="2" borderId="1" xfId="0" applyNumberFormat="1" applyFont="1" applyFill="1" applyBorder="1" applyAlignment="1">
      <alignment horizontal="left" vertical="center" wrapText="1"/>
    </xf>
    <xf numFmtId="14" fontId="2" fillId="0" borderId="13" xfId="0" applyNumberFormat="1" applyFont="1" applyBorder="1" applyAlignment="1">
      <alignment horizontal="left" vertical="center" wrapText="1"/>
    </xf>
    <xf numFmtId="164" fontId="2" fillId="0" borderId="18" xfId="0" applyNumberFormat="1" applyFont="1" applyBorder="1" applyAlignment="1">
      <alignment horizontal="left" vertical="center" wrapText="1"/>
    </xf>
    <xf numFmtId="164" fontId="2" fillId="0" borderId="13" xfId="0" applyNumberFormat="1" applyFont="1" applyBorder="1" applyAlignment="1">
      <alignment horizontal="left" vertical="center" wrapText="1"/>
    </xf>
    <xf numFmtId="14" fontId="2" fillId="0" borderId="18" xfId="0" applyNumberFormat="1" applyFont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1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2" fillId="7" borderId="20" xfId="0" applyFont="1" applyFill="1" applyBorder="1" applyAlignment="1">
      <alignment horizontal="center" vertical="center" wrapText="1"/>
    </xf>
    <xf numFmtId="0" fontId="15" fillId="9" borderId="13" xfId="0" applyFont="1" applyFill="1" applyBorder="1" applyAlignment="1">
      <alignment horizontal="center" vertical="center"/>
    </xf>
    <xf numFmtId="0" fontId="15" fillId="10" borderId="13" xfId="0" applyFont="1" applyFill="1" applyBorder="1" applyAlignment="1">
      <alignment horizontal="left" vertical="center"/>
    </xf>
    <xf numFmtId="0" fontId="2" fillId="11" borderId="13" xfId="0" applyFont="1" applyFill="1" applyBorder="1" applyAlignment="1">
      <alignment horizontal="left" vertical="center" wrapText="1"/>
    </xf>
    <xf numFmtId="0" fontId="15" fillId="7" borderId="13" xfId="0" applyFont="1" applyFill="1" applyBorder="1" applyAlignment="1">
      <alignment horizontal="center" vertical="center"/>
    </xf>
    <xf numFmtId="0" fontId="15" fillId="12" borderId="13" xfId="0" applyFont="1" applyFill="1" applyBorder="1" applyAlignment="1">
      <alignment horizontal="left" vertical="center"/>
    </xf>
    <xf numFmtId="0" fontId="15" fillId="13" borderId="13" xfId="0" applyFont="1" applyFill="1" applyBorder="1" applyAlignment="1">
      <alignment horizontal="left" vertical="center" wrapText="1" readingOrder="1"/>
    </xf>
    <xf numFmtId="0" fontId="15" fillId="14" borderId="13" xfId="0" applyFont="1" applyFill="1" applyBorder="1" applyAlignment="1">
      <alignment horizontal="left" vertical="center"/>
    </xf>
    <xf numFmtId="0" fontId="15" fillId="15" borderId="13" xfId="0" applyFont="1" applyFill="1" applyBorder="1" applyAlignment="1">
      <alignment horizontal="left" vertical="center" wrapText="1" readingOrder="1"/>
    </xf>
    <xf numFmtId="0" fontId="16" fillId="0" borderId="0" xfId="0" applyFont="1"/>
    <xf numFmtId="0" fontId="2" fillId="16" borderId="13" xfId="0" applyFont="1" applyFill="1" applyBorder="1" applyAlignment="1">
      <alignment horizontal="left" vertical="center" wrapText="1"/>
    </xf>
    <xf numFmtId="0" fontId="2" fillId="17" borderId="13" xfId="0" applyFont="1" applyFill="1" applyBorder="1" applyAlignment="1">
      <alignment horizontal="left" vertical="center" wrapText="1"/>
    </xf>
    <xf numFmtId="0" fontId="2" fillId="18" borderId="13" xfId="0" applyFont="1" applyFill="1" applyBorder="1" applyAlignment="1">
      <alignment horizontal="left" vertical="center" wrapText="1"/>
    </xf>
    <xf numFmtId="0" fontId="2" fillId="7" borderId="13" xfId="0" applyFont="1" applyFill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166" fontId="2" fillId="0" borderId="23" xfId="0" applyNumberFormat="1" applyFont="1" applyBorder="1" applyAlignment="1">
      <alignment horizontal="left" vertical="center"/>
    </xf>
    <xf numFmtId="0" fontId="17" fillId="0" borderId="22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17" fillId="0" borderId="26" xfId="0" applyFont="1" applyBorder="1" applyAlignment="1">
      <alignment horizontal="left" vertical="center" wrapText="1"/>
    </xf>
    <xf numFmtId="0" fontId="17" fillId="2" borderId="25" xfId="0" applyFont="1" applyFill="1" applyBorder="1" applyAlignment="1">
      <alignment horizontal="left" wrapText="1"/>
    </xf>
    <xf numFmtId="0" fontId="2" fillId="0" borderId="25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17" fillId="2" borderId="27" xfId="0" applyFont="1" applyFill="1" applyBorder="1" applyAlignment="1">
      <alignment horizontal="left" wrapText="1"/>
    </xf>
    <xf numFmtId="166" fontId="2" fillId="0" borderId="27" xfId="0" applyNumberFormat="1" applyFont="1" applyBorder="1" applyAlignment="1">
      <alignment horizontal="left" vertical="center"/>
    </xf>
    <xf numFmtId="166" fontId="2" fillId="0" borderId="26" xfId="0" applyNumberFormat="1" applyFont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3" borderId="21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169" fontId="13" fillId="0" borderId="0" xfId="0" applyNumberFormat="1" applyFont="1" applyAlignment="1">
      <alignment horizontal="left"/>
    </xf>
  </cellXfs>
  <cellStyles count="2">
    <cellStyle name="Normal" xfId="0" builtinId="0"/>
    <cellStyle name="Normal 2" xfId="1" xr:uid="{B7C8342D-6A56-4C72-9817-DEF882E2BF39}"/>
  </cellStyles>
  <dxfs count="51">
    <dxf>
      <font>
        <color rgb="FF600000"/>
      </font>
      <fill>
        <patternFill patternType="solid">
          <fgColor rgb="FFFF927C"/>
          <bgColor rgb="FFFF927C"/>
        </patternFill>
      </fill>
    </dxf>
    <dxf>
      <font>
        <color theme="1"/>
      </font>
      <fill>
        <patternFill patternType="solid">
          <fgColor rgb="FFE7FFCA"/>
          <bgColor rgb="FFE7FFCA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03C25B"/>
          <bgColor rgb="FF03C25B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5EE9E7"/>
          <bgColor rgb="FF5EE9E7"/>
        </patternFill>
      </fill>
    </dxf>
    <dxf>
      <font>
        <color theme="1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C000"/>
          <bgColor rgb="FFFFC000"/>
        </patternFill>
      </fill>
    </dxf>
    <dxf>
      <font>
        <color theme="1"/>
      </font>
      <fill>
        <patternFill patternType="solid">
          <fgColor rgb="FF00EAF0"/>
          <bgColor rgb="FF00EAF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5EE9E7"/>
          <bgColor rgb="FF5EE9E7"/>
        </patternFill>
      </fill>
    </dxf>
    <dxf>
      <fill>
        <patternFill patternType="solid">
          <fgColor rgb="FFFFF2CC"/>
          <bgColor rgb="FFFFF2CC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03C25B"/>
          <bgColor rgb="FF03C25B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5EE9E7"/>
          <bgColor rgb="FF5EE9E7"/>
        </patternFill>
      </fill>
    </dxf>
    <dxf>
      <font>
        <color rgb="FF600000"/>
      </font>
      <fill>
        <patternFill patternType="solid">
          <fgColor rgb="FFFF927C"/>
          <bgColor rgb="FFFF927C"/>
        </patternFill>
      </fill>
    </dxf>
    <dxf>
      <font>
        <color theme="1"/>
      </font>
      <fill>
        <patternFill patternType="solid">
          <fgColor rgb="FFE7FFCA"/>
          <bgColor rgb="FFE7FFCA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03C25B"/>
          <bgColor rgb="FF03C25B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5EE9E7"/>
          <bgColor rgb="FF5EE9E7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5EE9E7"/>
          <bgColor rgb="FF5EE9E7"/>
        </patternFill>
      </fill>
    </dxf>
    <dxf>
      <fill>
        <patternFill patternType="solid">
          <fgColor rgb="FFFFF2CC"/>
          <bgColor rgb="FFFFF2CC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03C25B"/>
          <bgColor rgb="FF03C25B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5EE9E7"/>
          <bgColor rgb="FF5E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DB9CA"/>
    <pageSetUpPr fitToPage="1"/>
  </sheetPr>
  <dimension ref="A1:AM1000"/>
  <sheetViews>
    <sheetView showGridLines="0" tabSelected="1" zoomScale="70" zoomScaleNormal="70" workbookViewId="0">
      <selection activeCell="J30" sqref="J30"/>
    </sheetView>
  </sheetViews>
  <sheetFormatPr baseColWidth="10" defaultColWidth="11.19921875" defaultRowHeight="15" customHeight="1" x14ac:dyDescent="0.3"/>
  <cols>
    <col min="1" max="1" width="50.19921875" customWidth="1"/>
    <col min="2" max="2" width="13.8984375" customWidth="1"/>
    <col min="3" max="3" width="20.8984375" customWidth="1"/>
    <col min="4" max="4" width="12.8984375" customWidth="1"/>
    <col min="5" max="7" width="11.69921875" customWidth="1"/>
    <col min="8" max="8" width="8.8984375" customWidth="1"/>
    <col min="9" max="9" width="25.09765625" customWidth="1"/>
    <col min="10" max="10" width="27.59765625" customWidth="1"/>
    <col min="11" max="11" width="8.8984375" customWidth="1"/>
    <col min="12" max="12" width="27.296875" customWidth="1"/>
    <col min="13" max="16" width="11.8984375" customWidth="1"/>
    <col min="17" max="18" width="13.5" bestFit="1" customWidth="1"/>
    <col min="19" max="19" width="12.8984375" customWidth="1"/>
    <col min="20" max="20" width="3.09765625" customWidth="1"/>
    <col min="21" max="39" width="11" customWidth="1"/>
  </cols>
  <sheetData>
    <row r="1" spans="1:39" ht="45" customHeight="1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1"/>
      <c r="U1" s="1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ht="34.5" customHeight="1" x14ac:dyDescent="0.3">
      <c r="A2" s="1"/>
      <c r="B2" s="6" t="s">
        <v>2</v>
      </c>
      <c r="C2" s="6"/>
      <c r="D2" s="6"/>
      <c r="E2" s="6"/>
      <c r="F2" s="6"/>
      <c r="G2" s="7"/>
      <c r="H2" s="96" t="s">
        <v>3</v>
      </c>
      <c r="I2" s="97"/>
      <c r="J2" s="98"/>
      <c r="K2" s="92" t="s">
        <v>4</v>
      </c>
      <c r="L2" s="97"/>
      <c r="M2" s="98"/>
      <c r="N2" s="92" t="s">
        <v>5</v>
      </c>
      <c r="O2" s="97"/>
      <c r="P2" s="99"/>
      <c r="Q2" s="89" t="s">
        <v>6</v>
      </c>
      <c r="R2" s="97"/>
      <c r="S2" s="100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39" ht="34.5" customHeight="1" x14ac:dyDescent="0.3">
      <c r="A3" s="1"/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10" t="s">
        <v>12</v>
      </c>
      <c r="H3" s="11" t="s">
        <v>13</v>
      </c>
      <c r="I3" s="12" t="s">
        <v>14</v>
      </c>
      <c r="J3" s="12" t="s">
        <v>15</v>
      </c>
      <c r="K3" s="9" t="s">
        <v>16</v>
      </c>
      <c r="L3" s="9" t="s">
        <v>17</v>
      </c>
      <c r="M3" s="9" t="s">
        <v>18</v>
      </c>
      <c r="N3" s="9" t="s">
        <v>19</v>
      </c>
      <c r="O3" s="9" t="s">
        <v>20</v>
      </c>
      <c r="P3" s="13" t="s">
        <v>21</v>
      </c>
      <c r="Q3" s="14" t="s">
        <v>22</v>
      </c>
      <c r="R3" s="15" t="s">
        <v>23</v>
      </c>
      <c r="S3" s="16" t="s">
        <v>24</v>
      </c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</row>
    <row r="4" spans="1:39" ht="30" customHeight="1" x14ac:dyDescent="0.3">
      <c r="A4" s="8"/>
      <c r="B4" s="17" t="s">
        <v>25</v>
      </c>
      <c r="C4" s="17"/>
      <c r="D4" s="17"/>
      <c r="E4" s="18"/>
      <c r="F4" s="18"/>
      <c r="G4" s="19"/>
      <c r="H4" s="20"/>
      <c r="I4" s="21"/>
      <c r="J4" s="21"/>
      <c r="K4" s="21"/>
      <c r="L4" s="21"/>
      <c r="M4" s="21"/>
      <c r="N4" s="21"/>
      <c r="O4" s="21"/>
      <c r="P4" s="22"/>
      <c r="Q4" s="23"/>
      <c r="R4" s="24"/>
      <c r="S4" s="24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5" spans="1:39" ht="30" customHeight="1" x14ac:dyDescent="0.3">
      <c r="A5" s="8"/>
      <c r="B5" s="25" t="s">
        <v>26</v>
      </c>
      <c r="C5" s="25" t="s">
        <v>27</v>
      </c>
      <c r="D5" s="26" t="s">
        <v>61</v>
      </c>
      <c r="E5" s="27">
        <v>46080</v>
      </c>
      <c r="F5" s="27">
        <v>46080</v>
      </c>
      <c r="G5" s="27">
        <v>46109</v>
      </c>
      <c r="H5" s="28">
        <v>160</v>
      </c>
      <c r="I5" s="29">
        <v>21875</v>
      </c>
      <c r="J5" s="30">
        <f>H5*I5</f>
        <v>3500000</v>
      </c>
      <c r="K5" s="31">
        <v>10</v>
      </c>
      <c r="L5" s="32">
        <v>5000</v>
      </c>
      <c r="M5" s="30">
        <f t="shared" ref="M5:M13" si="0">K5*L5</f>
        <v>50000</v>
      </c>
      <c r="N5" s="33">
        <v>0</v>
      </c>
      <c r="O5" s="33">
        <v>0</v>
      </c>
      <c r="P5" s="34">
        <v>50000</v>
      </c>
      <c r="Q5" s="35">
        <v>3600000</v>
      </c>
      <c r="R5" s="36">
        <f t="shared" ref="R5:R13" si="1">J5+M5+N5+O5+P5</f>
        <v>3600000</v>
      </c>
      <c r="S5" s="37">
        <f t="shared" ref="S5:S13" si="2">R5-Q5</f>
        <v>0</v>
      </c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</row>
    <row r="6" spans="1:39" ht="30" customHeight="1" x14ac:dyDescent="0.3">
      <c r="A6" s="8"/>
      <c r="B6" s="25" t="s">
        <v>29</v>
      </c>
      <c r="C6" s="25" t="s">
        <v>30</v>
      </c>
      <c r="D6" s="26" t="s">
        <v>61</v>
      </c>
      <c r="E6" s="27">
        <v>46080</v>
      </c>
      <c r="F6" s="27">
        <v>46080</v>
      </c>
      <c r="G6" s="38">
        <v>46083</v>
      </c>
      <c r="H6" s="39">
        <v>120</v>
      </c>
      <c r="I6" s="29">
        <v>21875</v>
      </c>
      <c r="J6" s="30">
        <f>I6*H6</f>
        <v>2625000</v>
      </c>
      <c r="K6" s="31">
        <v>12</v>
      </c>
      <c r="L6" s="29">
        <v>20000</v>
      </c>
      <c r="M6" s="30">
        <f t="shared" si="0"/>
        <v>240000</v>
      </c>
      <c r="N6" s="33">
        <v>0</v>
      </c>
      <c r="O6" s="33">
        <v>0</v>
      </c>
      <c r="P6" s="34">
        <v>40000</v>
      </c>
      <c r="Q6" s="40">
        <v>2665000</v>
      </c>
      <c r="R6" s="36">
        <f t="shared" si="1"/>
        <v>2905000</v>
      </c>
      <c r="S6" s="37">
        <f t="shared" si="2"/>
        <v>240000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</row>
    <row r="7" spans="1:39" ht="30" customHeight="1" x14ac:dyDescent="0.3">
      <c r="A7" s="8"/>
      <c r="B7" s="25" t="s">
        <v>31</v>
      </c>
      <c r="C7" s="25" t="s">
        <v>32</v>
      </c>
      <c r="D7" s="26" t="s">
        <v>61</v>
      </c>
      <c r="E7" s="27">
        <v>46081</v>
      </c>
      <c r="F7" s="27">
        <v>46081</v>
      </c>
      <c r="G7" s="38">
        <v>46081</v>
      </c>
      <c r="H7" s="39">
        <v>140</v>
      </c>
      <c r="I7" s="29">
        <v>21875</v>
      </c>
      <c r="J7" s="30">
        <f t="shared" ref="J7:J13" si="3">H7*I7</f>
        <v>3062500</v>
      </c>
      <c r="K7" s="31">
        <v>0</v>
      </c>
      <c r="L7" s="29">
        <v>0</v>
      </c>
      <c r="M7" s="30">
        <f t="shared" si="0"/>
        <v>0</v>
      </c>
      <c r="N7" s="33">
        <v>0</v>
      </c>
      <c r="O7" s="33">
        <v>0</v>
      </c>
      <c r="P7" s="34">
        <v>50000</v>
      </c>
      <c r="Q7" s="40">
        <v>3112500</v>
      </c>
      <c r="R7" s="36">
        <f t="shared" si="1"/>
        <v>3112500</v>
      </c>
      <c r="S7" s="37">
        <f t="shared" si="2"/>
        <v>0</v>
      </c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</row>
    <row r="8" spans="1:39" ht="30" customHeight="1" x14ac:dyDescent="0.3">
      <c r="A8" s="8"/>
      <c r="B8" s="25" t="s">
        <v>33</v>
      </c>
      <c r="C8" s="25" t="s">
        <v>34</v>
      </c>
      <c r="D8" s="26" t="s">
        <v>61</v>
      </c>
      <c r="E8" s="27">
        <v>46086</v>
      </c>
      <c r="F8" s="27">
        <v>46086</v>
      </c>
      <c r="G8" s="38">
        <v>46101</v>
      </c>
      <c r="H8" s="39">
        <v>150</v>
      </c>
      <c r="I8" s="29">
        <v>21875</v>
      </c>
      <c r="J8" s="30">
        <f t="shared" si="3"/>
        <v>3281250</v>
      </c>
      <c r="K8" s="31">
        <v>15</v>
      </c>
      <c r="L8" s="29">
        <v>15000</v>
      </c>
      <c r="M8" s="30">
        <f>K8*L8</f>
        <v>225000</v>
      </c>
      <c r="N8" s="33">
        <v>0</v>
      </c>
      <c r="O8" s="33">
        <v>0</v>
      </c>
      <c r="P8" s="34">
        <v>60000</v>
      </c>
      <c r="Q8" s="40">
        <v>3341250</v>
      </c>
      <c r="R8" s="36">
        <f t="shared" si="1"/>
        <v>3566250</v>
      </c>
      <c r="S8" s="37">
        <f t="shared" si="2"/>
        <v>225000</v>
      </c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</row>
    <row r="9" spans="1:39" ht="30" customHeight="1" x14ac:dyDescent="0.3">
      <c r="A9" s="8"/>
      <c r="B9" s="25" t="s">
        <v>35</v>
      </c>
      <c r="C9" s="25" t="s">
        <v>36</v>
      </c>
      <c r="D9" s="26" t="s">
        <v>61</v>
      </c>
      <c r="E9" s="27">
        <v>46086</v>
      </c>
      <c r="F9" s="27">
        <v>46086</v>
      </c>
      <c r="G9" s="38">
        <v>46101</v>
      </c>
      <c r="H9" s="39">
        <v>180</v>
      </c>
      <c r="I9" s="29">
        <v>21875</v>
      </c>
      <c r="J9" s="30">
        <f t="shared" si="3"/>
        <v>3937500</v>
      </c>
      <c r="K9" s="31">
        <v>18</v>
      </c>
      <c r="L9" s="29">
        <v>25000</v>
      </c>
      <c r="M9" s="30">
        <f t="shared" si="0"/>
        <v>450000</v>
      </c>
      <c r="N9" s="33">
        <v>0</v>
      </c>
      <c r="O9" s="33">
        <v>0</v>
      </c>
      <c r="P9" s="34">
        <v>80000</v>
      </c>
      <c r="Q9" s="40">
        <v>4017500</v>
      </c>
      <c r="R9" s="36">
        <f t="shared" si="1"/>
        <v>4467500</v>
      </c>
      <c r="S9" s="37">
        <f t="shared" si="2"/>
        <v>450000</v>
      </c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</row>
    <row r="10" spans="1:39" ht="30" customHeight="1" x14ac:dyDescent="0.3">
      <c r="A10" s="8"/>
      <c r="B10" s="25" t="s">
        <v>34</v>
      </c>
      <c r="C10" s="25" t="s">
        <v>37</v>
      </c>
      <c r="D10" s="26" t="s">
        <v>61</v>
      </c>
      <c r="E10" s="27">
        <v>46086</v>
      </c>
      <c r="F10" s="27">
        <v>46086</v>
      </c>
      <c r="G10" s="38">
        <v>46106</v>
      </c>
      <c r="H10" s="39">
        <v>120</v>
      </c>
      <c r="I10" s="29">
        <v>21875</v>
      </c>
      <c r="J10" s="30">
        <f t="shared" si="3"/>
        <v>2625000</v>
      </c>
      <c r="K10" s="31">
        <v>0</v>
      </c>
      <c r="L10" s="29">
        <v>0</v>
      </c>
      <c r="M10" s="30">
        <f t="shared" si="0"/>
        <v>0</v>
      </c>
      <c r="N10" s="33">
        <v>0</v>
      </c>
      <c r="O10" s="33">
        <v>0</v>
      </c>
      <c r="P10" s="34">
        <v>50000</v>
      </c>
      <c r="Q10" s="40">
        <v>2675000</v>
      </c>
      <c r="R10" s="36">
        <f t="shared" si="1"/>
        <v>2675000</v>
      </c>
      <c r="S10" s="37">
        <f t="shared" si="2"/>
        <v>0</v>
      </c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</row>
    <row r="11" spans="1:39" ht="30" customHeight="1" x14ac:dyDescent="0.3">
      <c r="A11" s="8"/>
      <c r="B11" s="25" t="s">
        <v>39</v>
      </c>
      <c r="C11" s="25" t="s">
        <v>40</v>
      </c>
      <c r="D11" s="26" t="s">
        <v>61</v>
      </c>
      <c r="E11" s="27">
        <v>46089</v>
      </c>
      <c r="F11" s="27">
        <v>46089</v>
      </c>
      <c r="G11" s="38" t="s">
        <v>66</v>
      </c>
      <c r="H11" s="39">
        <v>320</v>
      </c>
      <c r="I11" s="29">
        <v>21875</v>
      </c>
      <c r="J11" s="30">
        <f t="shared" si="3"/>
        <v>7000000</v>
      </c>
      <c r="K11" s="31">
        <v>0</v>
      </c>
      <c r="L11" s="29">
        <v>0</v>
      </c>
      <c r="M11" s="30">
        <f t="shared" si="0"/>
        <v>0</v>
      </c>
      <c r="N11" s="33">
        <v>0</v>
      </c>
      <c r="O11" s="33">
        <v>0</v>
      </c>
      <c r="P11" s="34">
        <v>150000</v>
      </c>
      <c r="Q11" s="40">
        <v>7150000</v>
      </c>
      <c r="R11" s="36">
        <f t="shared" si="1"/>
        <v>7150000</v>
      </c>
      <c r="S11" s="37">
        <f t="shared" si="2"/>
        <v>0</v>
      </c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</row>
    <row r="12" spans="1:39" ht="30" customHeight="1" x14ac:dyDescent="0.3">
      <c r="A12" s="8"/>
      <c r="B12" s="25" t="s">
        <v>41</v>
      </c>
      <c r="C12" s="25" t="s">
        <v>42</v>
      </c>
      <c r="D12" s="26" t="s">
        <v>61</v>
      </c>
      <c r="E12" s="27">
        <v>46093</v>
      </c>
      <c r="F12" s="27">
        <v>46093</v>
      </c>
      <c r="G12" s="38">
        <v>46125</v>
      </c>
      <c r="H12" s="39">
        <v>240</v>
      </c>
      <c r="I12" s="29">
        <v>21875</v>
      </c>
      <c r="J12" s="30">
        <f t="shared" si="3"/>
        <v>5250000</v>
      </c>
      <c r="K12" s="31">
        <v>5</v>
      </c>
      <c r="L12" s="29">
        <v>10000</v>
      </c>
      <c r="M12" s="30">
        <f t="shared" si="0"/>
        <v>50000</v>
      </c>
      <c r="N12" s="33">
        <v>0</v>
      </c>
      <c r="O12" s="33">
        <v>0</v>
      </c>
      <c r="P12" s="34">
        <v>120000</v>
      </c>
      <c r="Q12" s="40">
        <v>5370000</v>
      </c>
      <c r="R12" s="36">
        <f t="shared" si="1"/>
        <v>5420000</v>
      </c>
      <c r="S12" s="37">
        <f t="shared" si="2"/>
        <v>50000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</row>
    <row r="13" spans="1:39" ht="30" customHeight="1" x14ac:dyDescent="0.3">
      <c r="A13" s="8"/>
      <c r="B13" s="25" t="s">
        <v>43</v>
      </c>
      <c r="C13" s="25" t="s">
        <v>44</v>
      </c>
      <c r="D13" s="26" t="s">
        <v>61</v>
      </c>
      <c r="E13" s="27">
        <v>46086</v>
      </c>
      <c r="F13" s="27">
        <v>46086</v>
      </c>
      <c r="G13" s="38">
        <v>46106</v>
      </c>
      <c r="H13" s="39">
        <v>260</v>
      </c>
      <c r="I13" s="29">
        <v>21875</v>
      </c>
      <c r="J13" s="30">
        <f t="shared" si="3"/>
        <v>5687500</v>
      </c>
      <c r="K13" s="31">
        <v>40</v>
      </c>
      <c r="L13" s="29">
        <v>5000</v>
      </c>
      <c r="M13" s="30">
        <f t="shared" si="0"/>
        <v>200000</v>
      </c>
      <c r="N13" s="33">
        <v>0</v>
      </c>
      <c r="O13" s="33">
        <v>0</v>
      </c>
      <c r="P13" s="34">
        <v>0</v>
      </c>
      <c r="Q13" s="40">
        <v>5887500</v>
      </c>
      <c r="R13" s="36">
        <f t="shared" si="1"/>
        <v>5887500</v>
      </c>
      <c r="S13" s="37">
        <f t="shared" si="2"/>
        <v>0</v>
      </c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</row>
    <row r="14" spans="1:39" ht="30" customHeight="1" x14ac:dyDescent="0.3">
      <c r="A14" s="8"/>
      <c r="B14" s="41" t="s">
        <v>45</v>
      </c>
      <c r="C14" s="41"/>
      <c r="D14" s="42"/>
      <c r="E14" s="43"/>
      <c r="F14" s="43"/>
      <c r="G14" s="44"/>
      <c r="H14" s="45">
        <v>200</v>
      </c>
      <c r="I14" s="46"/>
      <c r="J14" s="47">
        <f>SUM(J5:J13)</f>
        <v>36968750</v>
      </c>
      <c r="K14" s="47"/>
      <c r="L14" s="47"/>
      <c r="M14" s="47">
        <f>SUM(M5:M13)</f>
        <v>1215000</v>
      </c>
      <c r="N14" s="47">
        <f>SUM(N5:N13)</f>
        <v>0</v>
      </c>
      <c r="O14" s="47">
        <f>SUM(O5:O13)</f>
        <v>0</v>
      </c>
      <c r="P14" s="48">
        <f>SUM(P5:P13)</f>
        <v>600000</v>
      </c>
      <c r="Q14" s="49">
        <f>SUM(Q5:Q13)</f>
        <v>37818750</v>
      </c>
      <c r="R14" s="50">
        <f>SUM(J14:P14)</f>
        <v>38783750</v>
      </c>
      <c r="S14" s="50">
        <f>R14-Q14</f>
        <v>965000</v>
      </c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</row>
    <row r="15" spans="1:39" ht="10.5" customHeight="1" thickBot="1" x14ac:dyDescent="0.35">
      <c r="A15" s="8"/>
      <c r="B15" s="51"/>
      <c r="C15" s="51"/>
      <c r="D15" s="51"/>
      <c r="E15" s="51"/>
      <c r="F15" s="51"/>
      <c r="G15" s="51"/>
      <c r="H15" s="52"/>
      <c r="I15" s="53"/>
      <c r="J15" s="53"/>
      <c r="K15" s="52"/>
      <c r="L15" s="53"/>
      <c r="M15" s="53"/>
      <c r="N15" s="52"/>
      <c r="O15" s="52"/>
      <c r="P15" s="53"/>
      <c r="Q15" s="54"/>
      <c r="R15" s="53"/>
      <c r="S15" s="55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</row>
    <row r="16" spans="1:39" ht="34.5" customHeight="1" x14ac:dyDescent="0.3">
      <c r="A16" s="8"/>
      <c r="B16" s="6" t="s">
        <v>2</v>
      </c>
      <c r="C16" s="6"/>
      <c r="D16" s="6"/>
      <c r="E16" s="6"/>
      <c r="F16" s="6"/>
      <c r="G16" s="7"/>
      <c r="H16" s="95" t="s">
        <v>3</v>
      </c>
      <c r="I16" s="90"/>
      <c r="J16" s="94"/>
      <c r="K16" s="92" t="s">
        <v>4</v>
      </c>
      <c r="L16" s="90"/>
      <c r="M16" s="94"/>
      <c r="N16" s="92" t="s">
        <v>5</v>
      </c>
      <c r="O16" s="90"/>
      <c r="P16" s="93"/>
      <c r="Q16" s="89" t="s">
        <v>6</v>
      </c>
      <c r="R16" s="90"/>
      <c r="S16" s="91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</row>
    <row r="17" spans="1:39" ht="34.5" customHeight="1" x14ac:dyDescent="0.3">
      <c r="A17" s="8"/>
      <c r="B17" s="9" t="s">
        <v>7</v>
      </c>
      <c r="C17" s="9" t="s">
        <v>8</v>
      </c>
      <c r="D17" s="9" t="s">
        <v>9</v>
      </c>
      <c r="E17" s="9" t="s">
        <v>10</v>
      </c>
      <c r="F17" s="9" t="s">
        <v>11</v>
      </c>
      <c r="G17" s="10" t="s">
        <v>12</v>
      </c>
      <c r="H17" s="11" t="s">
        <v>13</v>
      </c>
      <c r="I17" s="12" t="s">
        <v>14</v>
      </c>
      <c r="J17" s="12" t="s">
        <v>15</v>
      </c>
      <c r="K17" s="9" t="s">
        <v>16</v>
      </c>
      <c r="L17" s="9" t="s">
        <v>17</v>
      </c>
      <c r="M17" s="9" t="s">
        <v>18</v>
      </c>
      <c r="N17" s="9" t="s">
        <v>19</v>
      </c>
      <c r="O17" s="9" t="s">
        <v>20</v>
      </c>
      <c r="P17" s="13" t="s">
        <v>21</v>
      </c>
      <c r="Q17" s="14" t="s">
        <v>22</v>
      </c>
      <c r="R17" s="15" t="s">
        <v>23</v>
      </c>
      <c r="S17" s="16" t="s">
        <v>24</v>
      </c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</row>
    <row r="18" spans="1:39" ht="30" customHeight="1" x14ac:dyDescent="0.3">
      <c r="A18" s="8"/>
      <c r="B18" s="17" t="s">
        <v>46</v>
      </c>
      <c r="C18" s="17"/>
      <c r="D18" s="17"/>
      <c r="E18" s="18"/>
      <c r="F18" s="18"/>
      <c r="G18" s="19"/>
      <c r="H18" s="20"/>
      <c r="I18" s="21"/>
      <c r="J18" s="21"/>
      <c r="K18" s="21"/>
      <c r="L18" s="21"/>
      <c r="M18" s="21"/>
      <c r="N18" s="21"/>
      <c r="O18" s="21"/>
      <c r="P18" s="22"/>
      <c r="Q18" s="23"/>
      <c r="R18" s="24"/>
      <c r="S18" s="24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</row>
    <row r="19" spans="1:39" ht="30" customHeight="1" x14ac:dyDescent="0.3">
      <c r="A19" s="8"/>
      <c r="B19" s="25" t="s">
        <v>47</v>
      </c>
      <c r="C19" s="25" t="s">
        <v>48</v>
      </c>
      <c r="D19" s="26" t="s">
        <v>61</v>
      </c>
      <c r="E19" s="56">
        <v>46086</v>
      </c>
      <c r="F19" s="56">
        <v>46086</v>
      </c>
      <c r="G19" s="57">
        <v>46118</v>
      </c>
      <c r="H19" s="39">
        <v>40</v>
      </c>
      <c r="I19" s="29">
        <v>25000</v>
      </c>
      <c r="J19" s="30">
        <f>H19*I19</f>
        <v>1000000</v>
      </c>
      <c r="K19" s="31">
        <v>80</v>
      </c>
      <c r="L19" s="29">
        <v>35000</v>
      </c>
      <c r="M19" s="30">
        <f>K19*L19</f>
        <v>2800000</v>
      </c>
      <c r="N19" s="33">
        <v>0</v>
      </c>
      <c r="O19" s="33">
        <v>0</v>
      </c>
      <c r="P19" s="34">
        <v>0</v>
      </c>
      <c r="Q19" s="101">
        <v>100000</v>
      </c>
      <c r="R19" s="36">
        <f t="shared" ref="R19:R20" si="4">J19+M19+N19+O19+P19</f>
        <v>3800000</v>
      </c>
      <c r="S19" s="37">
        <f t="shared" ref="S19:S20" si="5">R19-Q19</f>
        <v>3700000</v>
      </c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</row>
    <row r="20" spans="1:39" ht="30" customHeight="1" x14ac:dyDescent="0.3">
      <c r="A20" s="8"/>
      <c r="B20" s="25" t="s">
        <v>49</v>
      </c>
      <c r="C20" s="25" t="s">
        <v>50</v>
      </c>
      <c r="D20" s="26" t="s">
        <v>61</v>
      </c>
      <c r="E20" s="58">
        <v>46080</v>
      </c>
      <c r="F20" s="58">
        <v>46080</v>
      </c>
      <c r="G20" s="59">
        <v>46162</v>
      </c>
      <c r="H20" s="39">
        <v>20</v>
      </c>
      <c r="I20" s="29">
        <v>21875</v>
      </c>
      <c r="J20" s="30">
        <f t="shared" ref="J20" si="6">H20*I20</f>
        <v>437500</v>
      </c>
      <c r="K20" s="31">
        <v>0</v>
      </c>
      <c r="L20" s="29">
        <v>0</v>
      </c>
      <c r="M20" s="30">
        <f t="shared" ref="M20" si="7">K20*L20</f>
        <v>0</v>
      </c>
      <c r="N20" s="33">
        <v>0</v>
      </c>
      <c r="O20" s="33">
        <v>0</v>
      </c>
      <c r="P20" s="34">
        <v>0</v>
      </c>
      <c r="Q20" s="40">
        <v>437500</v>
      </c>
      <c r="R20" s="36">
        <f t="shared" si="4"/>
        <v>437500</v>
      </c>
      <c r="S20" s="37">
        <f t="shared" si="5"/>
        <v>0</v>
      </c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</row>
    <row r="21" spans="1:39" ht="30" customHeight="1" x14ac:dyDescent="0.3">
      <c r="A21" s="8"/>
      <c r="B21" s="25" t="s">
        <v>51</v>
      </c>
      <c r="C21" s="25" t="s">
        <v>52</v>
      </c>
      <c r="D21" s="26" t="s">
        <v>61</v>
      </c>
      <c r="E21" s="56">
        <v>46143</v>
      </c>
      <c r="F21" s="56">
        <v>46143</v>
      </c>
      <c r="G21" s="59">
        <v>46152</v>
      </c>
      <c r="H21" s="39">
        <v>40</v>
      </c>
      <c r="I21" s="29">
        <v>21875</v>
      </c>
      <c r="J21" s="30">
        <f>H21*I21</f>
        <v>875000</v>
      </c>
      <c r="K21" s="31">
        <v>2</v>
      </c>
      <c r="L21" s="29">
        <v>25000</v>
      </c>
      <c r="M21" s="30">
        <f>K21*L21</f>
        <v>50000</v>
      </c>
      <c r="N21" s="33">
        <v>0</v>
      </c>
      <c r="O21" s="33">
        <v>0</v>
      </c>
      <c r="P21" s="34">
        <v>0</v>
      </c>
      <c r="Q21" s="34">
        <v>925000</v>
      </c>
      <c r="R21" s="36">
        <f>J21+M21+N21+O21+P21</f>
        <v>925000</v>
      </c>
      <c r="S21" s="37">
        <f>R21-Q21</f>
        <v>0</v>
      </c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</row>
    <row r="22" spans="1:39" ht="30" customHeight="1" x14ac:dyDescent="0.3">
      <c r="A22" s="8"/>
      <c r="B22" s="78" t="s">
        <v>67</v>
      </c>
      <c r="C22" s="81" t="s">
        <v>68</v>
      </c>
      <c r="D22" s="26" t="s">
        <v>61</v>
      </c>
      <c r="E22" s="56">
        <v>46144</v>
      </c>
      <c r="F22" s="56">
        <v>46144</v>
      </c>
      <c r="G22" s="56">
        <v>46167</v>
      </c>
      <c r="H22" s="79">
        <v>80</v>
      </c>
      <c r="I22" s="29">
        <v>50000</v>
      </c>
      <c r="J22" s="30">
        <f>H22*I22</f>
        <v>4000000</v>
      </c>
      <c r="K22" s="31">
        <v>1</v>
      </c>
      <c r="L22" s="29">
        <v>15000</v>
      </c>
      <c r="M22" s="30">
        <f>K22*L22</f>
        <v>15000</v>
      </c>
      <c r="N22" s="33">
        <v>0</v>
      </c>
      <c r="O22" s="33">
        <v>0</v>
      </c>
      <c r="P22" s="34">
        <v>0</v>
      </c>
      <c r="Q22" s="34">
        <v>50000</v>
      </c>
      <c r="R22" s="34">
        <v>50000</v>
      </c>
      <c r="S22" s="37">
        <f>R22-Q22</f>
        <v>0</v>
      </c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</row>
    <row r="23" spans="1:39" ht="30" customHeight="1" x14ac:dyDescent="0.3">
      <c r="A23" s="8"/>
      <c r="B23" s="82" t="s">
        <v>71</v>
      </c>
      <c r="C23" s="80" t="s">
        <v>69</v>
      </c>
      <c r="D23" s="26" t="s">
        <v>61</v>
      </c>
      <c r="E23" s="56">
        <v>46145</v>
      </c>
      <c r="F23" s="56">
        <v>46145</v>
      </c>
      <c r="G23" s="56">
        <v>46168</v>
      </c>
      <c r="H23" s="88">
        <v>40</v>
      </c>
      <c r="I23" s="29">
        <v>21000</v>
      </c>
      <c r="J23" s="30">
        <f t="shared" ref="J23:J30" si="8">H23*I23</f>
        <v>840000</v>
      </c>
      <c r="K23" s="31">
        <v>1</v>
      </c>
      <c r="L23" s="29">
        <v>25000</v>
      </c>
      <c r="M23" s="30">
        <f t="shared" ref="M23:M26" si="9">K23*L23</f>
        <v>25000</v>
      </c>
      <c r="N23" s="33">
        <v>0</v>
      </c>
      <c r="O23" s="33">
        <v>0</v>
      </c>
      <c r="P23" s="34">
        <v>0</v>
      </c>
      <c r="Q23" s="34">
        <v>1830000</v>
      </c>
      <c r="R23" s="34">
        <v>1830000</v>
      </c>
      <c r="S23" s="37">
        <f t="shared" ref="S23:S25" si="10">R23-Q23</f>
        <v>0</v>
      </c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</row>
    <row r="24" spans="1:39" ht="30" customHeight="1" x14ac:dyDescent="0.3">
      <c r="A24" s="8"/>
      <c r="B24" s="78" t="s">
        <v>67</v>
      </c>
      <c r="C24" s="83" t="s">
        <v>70</v>
      </c>
      <c r="D24" s="26" t="s">
        <v>61</v>
      </c>
      <c r="E24" s="56">
        <v>46146</v>
      </c>
      <c r="F24" s="56">
        <v>46146</v>
      </c>
      <c r="G24" s="56">
        <v>46169</v>
      </c>
      <c r="H24" s="88">
        <v>120</v>
      </c>
      <c r="I24" s="29">
        <v>21000</v>
      </c>
      <c r="J24" s="30">
        <f t="shared" si="8"/>
        <v>2520000</v>
      </c>
      <c r="K24" s="31">
        <v>1</v>
      </c>
      <c r="L24" s="29">
        <v>15000</v>
      </c>
      <c r="M24" s="30">
        <f t="shared" si="9"/>
        <v>15000</v>
      </c>
      <c r="N24" s="33">
        <v>0</v>
      </c>
      <c r="O24" s="33">
        <v>0</v>
      </c>
      <c r="P24" s="34">
        <v>0</v>
      </c>
      <c r="Q24" s="34">
        <v>2745000</v>
      </c>
      <c r="R24" s="34">
        <v>2795000</v>
      </c>
      <c r="S24" s="37">
        <f t="shared" si="10"/>
        <v>50000</v>
      </c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</row>
    <row r="25" spans="1:39" ht="30" customHeight="1" x14ac:dyDescent="0.3">
      <c r="A25" s="8"/>
      <c r="B25" s="84" t="s">
        <v>72</v>
      </c>
      <c r="C25" s="83" t="s">
        <v>78</v>
      </c>
      <c r="D25" s="26" t="s">
        <v>61</v>
      </c>
      <c r="E25" s="56">
        <v>46147</v>
      </c>
      <c r="F25" s="56">
        <v>46147</v>
      </c>
      <c r="G25" s="56">
        <v>46170</v>
      </c>
      <c r="H25" s="88">
        <v>20</v>
      </c>
      <c r="I25" s="29">
        <v>21000</v>
      </c>
      <c r="J25" s="30">
        <f t="shared" si="8"/>
        <v>420000</v>
      </c>
      <c r="K25" s="31">
        <v>1</v>
      </c>
      <c r="L25" s="29">
        <v>0</v>
      </c>
      <c r="M25" s="30">
        <f t="shared" si="9"/>
        <v>0</v>
      </c>
      <c r="N25" s="33">
        <v>0</v>
      </c>
      <c r="O25" s="33">
        <v>0</v>
      </c>
      <c r="P25" s="34">
        <v>0</v>
      </c>
      <c r="Q25" s="34">
        <v>837500</v>
      </c>
      <c r="R25" s="34">
        <v>837500</v>
      </c>
      <c r="S25" s="37">
        <f t="shared" si="10"/>
        <v>0</v>
      </c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</row>
    <row r="26" spans="1:39" ht="30" customHeight="1" x14ac:dyDescent="0.3">
      <c r="A26" s="8"/>
      <c r="B26" s="85" t="s">
        <v>73</v>
      </c>
      <c r="C26" s="86" t="s">
        <v>80</v>
      </c>
      <c r="D26" s="26" t="s">
        <v>61</v>
      </c>
      <c r="E26" s="56">
        <v>46148</v>
      </c>
      <c r="F26" s="56">
        <v>46148</v>
      </c>
      <c r="G26" s="56">
        <v>46171</v>
      </c>
      <c r="H26" s="87">
        <v>40</v>
      </c>
      <c r="I26" s="29">
        <v>21000</v>
      </c>
      <c r="J26" s="30">
        <f t="shared" si="8"/>
        <v>840000</v>
      </c>
      <c r="K26" s="31">
        <v>1</v>
      </c>
      <c r="L26" s="29">
        <v>0</v>
      </c>
      <c r="M26" s="30">
        <f>K26*L26</f>
        <v>0</v>
      </c>
      <c r="N26" s="33">
        <v>0</v>
      </c>
      <c r="O26" s="33">
        <v>0</v>
      </c>
      <c r="P26" s="34">
        <v>0</v>
      </c>
      <c r="Q26" s="34">
        <v>1075000</v>
      </c>
      <c r="R26" s="34">
        <v>1075000</v>
      </c>
      <c r="S26" s="37">
        <f>R26-Q26</f>
        <v>0</v>
      </c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30" customHeight="1" x14ac:dyDescent="0.3">
      <c r="A27" s="8"/>
      <c r="B27" s="85" t="s">
        <v>74</v>
      </c>
      <c r="C27" s="86" t="s">
        <v>79</v>
      </c>
      <c r="D27" s="26" t="s">
        <v>61</v>
      </c>
      <c r="E27" s="56">
        <v>46149</v>
      </c>
      <c r="F27" s="56">
        <v>46149</v>
      </c>
      <c r="G27" s="56">
        <v>46172</v>
      </c>
      <c r="H27" s="87">
        <v>40</v>
      </c>
      <c r="I27" s="29">
        <v>21000</v>
      </c>
      <c r="J27" s="30">
        <f t="shared" si="8"/>
        <v>840000</v>
      </c>
      <c r="K27" s="31">
        <v>1</v>
      </c>
      <c r="L27" s="29">
        <v>0</v>
      </c>
      <c r="M27" s="30">
        <f t="shared" ref="M27:M30" si="11">K27*L27</f>
        <v>0</v>
      </c>
      <c r="N27" s="33">
        <v>0</v>
      </c>
      <c r="O27" s="33">
        <v>0</v>
      </c>
      <c r="P27" s="34">
        <v>0</v>
      </c>
      <c r="Q27" s="34">
        <v>1075000</v>
      </c>
      <c r="R27" s="34">
        <v>1075000</v>
      </c>
      <c r="S27" s="37">
        <f t="shared" ref="S27:S30" si="12">R27-Q27</f>
        <v>0</v>
      </c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46.2" customHeight="1" x14ac:dyDescent="0.3">
      <c r="A28" s="8"/>
      <c r="B28" s="85" t="s">
        <v>75</v>
      </c>
      <c r="C28" s="86" t="s">
        <v>81</v>
      </c>
      <c r="D28" s="26" t="s">
        <v>61</v>
      </c>
      <c r="E28" s="56">
        <v>46150</v>
      </c>
      <c r="F28" s="56">
        <v>46150</v>
      </c>
      <c r="G28" s="56">
        <v>46173</v>
      </c>
      <c r="H28" s="87">
        <v>40</v>
      </c>
      <c r="I28" s="29">
        <v>21000</v>
      </c>
      <c r="J28" s="30">
        <f t="shared" si="8"/>
        <v>840000</v>
      </c>
      <c r="K28" s="31">
        <v>1</v>
      </c>
      <c r="L28" s="29">
        <v>0</v>
      </c>
      <c r="M28" s="30">
        <f t="shared" si="11"/>
        <v>0</v>
      </c>
      <c r="N28" s="33">
        <v>0</v>
      </c>
      <c r="O28" s="33">
        <v>0</v>
      </c>
      <c r="P28" s="34">
        <v>0</v>
      </c>
      <c r="Q28" s="34">
        <v>1075000</v>
      </c>
      <c r="R28" s="34">
        <v>1075000</v>
      </c>
      <c r="S28" s="37">
        <f t="shared" si="12"/>
        <v>0</v>
      </c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</row>
    <row r="29" spans="1:39" ht="58.2" customHeight="1" x14ac:dyDescent="0.3">
      <c r="A29" s="1"/>
      <c r="B29" s="85" t="s">
        <v>76</v>
      </c>
      <c r="C29" s="86" t="s">
        <v>82</v>
      </c>
      <c r="D29" s="26" t="s">
        <v>61</v>
      </c>
      <c r="E29" s="56">
        <v>46151</v>
      </c>
      <c r="F29" s="56">
        <v>46151</v>
      </c>
      <c r="G29" s="56">
        <v>46174</v>
      </c>
      <c r="H29" s="87">
        <v>40</v>
      </c>
      <c r="I29" s="29">
        <v>120000</v>
      </c>
      <c r="J29" s="30">
        <f>H29*I29</f>
        <v>4800000</v>
      </c>
      <c r="K29" s="31">
        <v>1</v>
      </c>
      <c r="L29" s="29">
        <v>0</v>
      </c>
      <c r="M29" s="30">
        <f t="shared" si="11"/>
        <v>0</v>
      </c>
      <c r="N29" s="33">
        <v>0</v>
      </c>
      <c r="O29" s="33">
        <v>0</v>
      </c>
      <c r="P29" s="34">
        <v>0</v>
      </c>
      <c r="Q29" s="34">
        <v>1075000</v>
      </c>
      <c r="R29" s="34">
        <v>1075000</v>
      </c>
      <c r="S29" s="37">
        <f t="shared" si="12"/>
        <v>0</v>
      </c>
      <c r="T29" s="1"/>
      <c r="U29" s="1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39" ht="30" customHeight="1" x14ac:dyDescent="0.3">
      <c r="A30" s="1"/>
      <c r="B30" s="85" t="s">
        <v>77</v>
      </c>
      <c r="C30" s="85" t="s">
        <v>83</v>
      </c>
      <c r="D30" s="26" t="s">
        <v>61</v>
      </c>
      <c r="E30" s="56">
        <v>46152</v>
      </c>
      <c r="F30" s="56">
        <v>46152</v>
      </c>
      <c r="G30" s="56">
        <v>46175</v>
      </c>
      <c r="H30" s="87">
        <v>40</v>
      </c>
      <c r="I30" s="29">
        <v>200000</v>
      </c>
      <c r="J30" s="30">
        <f t="shared" si="8"/>
        <v>8000000</v>
      </c>
      <c r="K30" s="31">
        <v>1</v>
      </c>
      <c r="L30" s="29">
        <v>0</v>
      </c>
      <c r="M30" s="30">
        <f t="shared" si="11"/>
        <v>0</v>
      </c>
      <c r="N30" s="33">
        <v>0</v>
      </c>
      <c r="O30" s="33">
        <v>0</v>
      </c>
      <c r="P30" s="34">
        <v>0</v>
      </c>
      <c r="Q30" s="34">
        <v>1075000</v>
      </c>
      <c r="R30" s="34">
        <v>1075000</v>
      </c>
      <c r="S30" s="37">
        <f t="shared" si="12"/>
        <v>0</v>
      </c>
      <c r="T30" s="1"/>
      <c r="U30" s="1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39" ht="31.2" customHeight="1" x14ac:dyDescent="0.3">
      <c r="A31" s="1"/>
      <c r="B31" s="41" t="s">
        <v>45</v>
      </c>
      <c r="C31" s="43"/>
      <c r="D31" s="43"/>
      <c r="E31" s="43"/>
      <c r="F31" s="43"/>
      <c r="G31" s="43"/>
      <c r="H31" s="43"/>
      <c r="I31" s="43"/>
      <c r="J31" s="47">
        <f>SUM(J19:J30)</f>
        <v>25412500</v>
      </c>
      <c r="K31" s="47"/>
      <c r="L31" s="47"/>
      <c r="M31" s="47">
        <f>SUM(M23:M25)</f>
        <v>40000</v>
      </c>
      <c r="N31" s="47">
        <f>SUM(N23:N25)</f>
        <v>0</v>
      </c>
      <c r="O31" s="47">
        <f>SUM(O23:O25)</f>
        <v>0</v>
      </c>
      <c r="P31" s="48">
        <f>SUM(P23:P25)</f>
        <v>0</v>
      </c>
      <c r="Q31" s="49">
        <f>SUM(Q23:Q26)</f>
        <v>6487500</v>
      </c>
      <c r="R31" s="50">
        <f>SUM(J31:P31)</f>
        <v>25452500</v>
      </c>
      <c r="S31" s="50">
        <f>R31-Q31</f>
        <v>18965000</v>
      </c>
      <c r="T31" s="1"/>
      <c r="U31" s="1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39" ht="13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1:39" ht="13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1:39" ht="13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39" ht="13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39" ht="13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39" ht="13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39" ht="13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39" ht="13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39" ht="13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39" ht="13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39" ht="13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39" ht="13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39" ht="13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39" ht="13.5" customHeight="1" x14ac:dyDescent="0.3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1"/>
      <c r="U45" s="1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39" ht="13.5" customHeight="1" x14ac:dyDescent="0.3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1"/>
      <c r="U46" s="1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39" ht="13.5" customHeight="1" x14ac:dyDescent="0.3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1"/>
      <c r="U47" s="1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39" ht="13.5" customHeight="1" x14ac:dyDescent="0.3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1"/>
      <c r="U48" s="1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3.5" customHeight="1" x14ac:dyDescent="0.3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1"/>
      <c r="U49" s="1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3.5" customHeight="1" x14ac:dyDescent="0.3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1"/>
      <c r="U50" s="1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3.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3.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3.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3.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3.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3.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3.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3.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3.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3.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3.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3.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3.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3.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3.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3.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3.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3.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3.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3.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3.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3.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3.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3.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3.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</row>
    <row r="76" spans="1:39" ht="13.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</row>
    <row r="77" spans="1:39" ht="13.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</row>
    <row r="78" spans="1:39" ht="13.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</row>
    <row r="79" spans="1:39" ht="13.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</row>
    <row r="80" spans="1:39" ht="13.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</row>
    <row r="81" spans="1:39" ht="13.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</row>
    <row r="82" spans="1:39" ht="13.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</row>
    <row r="83" spans="1:39" ht="13.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</row>
    <row r="84" spans="1:39" ht="13.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</row>
    <row r="85" spans="1:39" ht="13.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</row>
    <row r="86" spans="1:39" ht="13.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</row>
    <row r="87" spans="1:39" ht="13.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</row>
    <row r="88" spans="1:39" ht="13.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</row>
    <row r="89" spans="1:39" ht="13.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</row>
    <row r="90" spans="1:39" ht="13.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</row>
    <row r="91" spans="1:39" ht="13.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</row>
    <row r="92" spans="1:39" ht="13.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</row>
    <row r="93" spans="1:39" ht="13.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</row>
    <row r="94" spans="1:39" ht="13.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</row>
    <row r="95" spans="1:39" ht="13.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</row>
    <row r="96" spans="1:39" ht="13.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</row>
    <row r="97" spans="1:39" ht="13.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</row>
    <row r="98" spans="1:39" ht="13.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</row>
    <row r="99" spans="1:39" ht="13.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</row>
    <row r="100" spans="1:39" ht="13.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</row>
    <row r="101" spans="1:39" ht="13.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</row>
    <row r="102" spans="1:39" ht="13.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</row>
    <row r="103" spans="1:39" ht="13.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</row>
    <row r="104" spans="1:39" ht="13.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</row>
    <row r="105" spans="1:39" ht="13.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</row>
    <row r="106" spans="1:39" ht="13.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</row>
    <row r="107" spans="1:39" ht="13.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</row>
    <row r="108" spans="1:39" ht="13.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</row>
    <row r="109" spans="1:39" ht="13.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</row>
    <row r="110" spans="1:39" ht="13.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</row>
    <row r="111" spans="1:39" ht="13.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</row>
    <row r="112" spans="1:39" ht="13.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</row>
    <row r="113" spans="1:39" ht="13.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</row>
    <row r="114" spans="1:39" ht="13.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</row>
    <row r="115" spans="1:39" ht="13.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</row>
    <row r="116" spans="1:39" ht="13.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</row>
    <row r="117" spans="1:39" ht="13.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</row>
    <row r="118" spans="1:39" ht="13.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</row>
    <row r="119" spans="1:39" ht="13.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</row>
    <row r="120" spans="1:39" ht="13.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</row>
    <row r="121" spans="1:39" ht="13.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</row>
    <row r="122" spans="1:39" ht="13.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</row>
    <row r="123" spans="1:39" ht="13.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</row>
    <row r="124" spans="1:39" ht="13.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</row>
    <row r="125" spans="1:39" ht="13.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</row>
    <row r="126" spans="1:39" ht="13.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</row>
    <row r="127" spans="1:39" ht="13.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</row>
    <row r="128" spans="1:39" ht="13.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</row>
    <row r="129" spans="1:39" ht="13.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</row>
    <row r="130" spans="1:39" ht="13.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</row>
    <row r="131" spans="1:39" ht="13.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</row>
    <row r="132" spans="1:39" ht="13.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</row>
    <row r="133" spans="1:39" ht="13.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</row>
    <row r="134" spans="1:39" ht="13.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</row>
    <row r="135" spans="1:39" ht="13.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</row>
    <row r="136" spans="1:39" ht="13.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</row>
    <row r="137" spans="1:39" ht="13.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</row>
    <row r="138" spans="1:39" ht="13.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</row>
    <row r="139" spans="1:39" ht="13.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</row>
    <row r="140" spans="1:39" ht="13.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</row>
    <row r="141" spans="1:39" ht="13.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</row>
    <row r="142" spans="1:39" ht="13.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</row>
    <row r="143" spans="1:39" ht="13.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</row>
    <row r="144" spans="1:39" ht="13.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</row>
    <row r="145" spans="1:39" ht="13.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</row>
    <row r="146" spans="1:39" ht="13.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</row>
    <row r="147" spans="1:39" ht="13.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</row>
    <row r="148" spans="1:39" ht="13.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</row>
    <row r="149" spans="1:39" ht="13.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</row>
    <row r="150" spans="1:39" ht="13.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</row>
    <row r="151" spans="1:39" ht="13.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</row>
    <row r="152" spans="1:39" ht="13.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</row>
    <row r="153" spans="1:39" ht="13.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</row>
    <row r="154" spans="1:39" ht="13.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</row>
    <row r="155" spans="1:39" ht="13.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</row>
    <row r="156" spans="1:39" ht="13.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</row>
    <row r="157" spans="1:39" ht="13.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</row>
    <row r="158" spans="1:39" ht="13.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</row>
    <row r="159" spans="1:39" ht="13.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</row>
    <row r="160" spans="1:39" ht="13.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</row>
    <row r="161" spans="1:39" ht="13.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</row>
    <row r="162" spans="1:39" ht="13.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</row>
    <row r="163" spans="1:39" ht="13.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</row>
    <row r="164" spans="1:39" ht="13.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</row>
    <row r="165" spans="1:39" ht="13.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</row>
    <row r="166" spans="1:39" ht="13.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</row>
    <row r="167" spans="1:39" ht="13.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</row>
    <row r="168" spans="1:39" ht="13.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</row>
    <row r="169" spans="1:39" ht="13.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</row>
    <row r="170" spans="1:39" ht="13.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</row>
    <row r="171" spans="1:39" ht="13.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</row>
    <row r="172" spans="1:39" ht="13.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</row>
    <row r="173" spans="1:39" ht="13.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</row>
    <row r="174" spans="1:39" ht="13.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</row>
    <row r="175" spans="1:39" ht="13.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</row>
    <row r="176" spans="1:39" ht="13.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</row>
    <row r="177" spans="1:39" ht="13.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</row>
    <row r="178" spans="1:39" ht="13.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</row>
    <row r="179" spans="1:39" ht="13.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</row>
    <row r="180" spans="1:39" ht="13.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</row>
    <row r="181" spans="1:39" ht="13.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</row>
    <row r="182" spans="1:39" ht="13.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</row>
    <row r="183" spans="1:39" ht="13.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</row>
    <row r="184" spans="1:39" ht="13.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</row>
    <row r="185" spans="1:39" ht="13.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</row>
    <row r="186" spans="1:39" ht="13.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</row>
    <row r="187" spans="1:39" ht="13.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</row>
    <row r="188" spans="1:39" ht="13.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</row>
    <row r="189" spans="1:39" ht="13.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</row>
    <row r="190" spans="1:39" ht="13.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</row>
    <row r="191" spans="1:39" ht="13.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</row>
    <row r="192" spans="1:39" ht="13.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</row>
    <row r="193" spans="1:39" ht="13.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</row>
    <row r="194" spans="1:39" ht="13.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</row>
    <row r="195" spans="1:39" ht="13.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</row>
    <row r="196" spans="1:39" ht="13.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</row>
    <row r="197" spans="1:39" ht="13.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</row>
    <row r="198" spans="1:39" ht="13.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</row>
    <row r="199" spans="1:39" ht="13.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</row>
    <row r="200" spans="1:39" ht="13.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</row>
    <row r="201" spans="1:39" ht="13.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</row>
    <row r="202" spans="1:39" ht="13.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</row>
    <row r="203" spans="1:39" ht="13.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</row>
    <row r="204" spans="1:39" ht="13.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</row>
    <row r="205" spans="1:39" ht="13.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</row>
    <row r="206" spans="1:39" ht="13.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</row>
    <row r="207" spans="1:39" ht="13.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</row>
    <row r="208" spans="1:39" ht="13.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</row>
    <row r="209" spans="1:39" ht="13.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</row>
    <row r="210" spans="1:39" ht="13.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</row>
    <row r="211" spans="1:39" ht="13.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</row>
    <row r="212" spans="1:39" ht="13.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</row>
    <row r="213" spans="1:39" ht="13.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</row>
    <row r="214" spans="1:39" ht="13.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</row>
    <row r="215" spans="1:39" ht="13.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</row>
    <row r="216" spans="1:39" ht="13.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</row>
    <row r="217" spans="1:39" ht="13.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</row>
    <row r="218" spans="1:39" ht="13.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</row>
    <row r="219" spans="1:39" ht="13.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</row>
    <row r="220" spans="1:39" ht="13.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</row>
    <row r="221" spans="1:39" ht="13.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</row>
    <row r="222" spans="1:39" ht="13.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</row>
    <row r="223" spans="1:39" ht="13.5" customHeight="1" x14ac:dyDescent="0.3">
      <c r="A223" s="5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5"/>
      <c r="U223" s="5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</row>
    <row r="224" spans="1:39" ht="13.5" customHeight="1" x14ac:dyDescent="0.3">
      <c r="A224" s="5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5"/>
      <c r="U224" s="5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</row>
    <row r="225" spans="1:39" ht="13.5" customHeight="1" x14ac:dyDescent="0.3">
      <c r="A225" s="5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5"/>
      <c r="U225" s="5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</row>
    <row r="226" spans="1:39" ht="13.5" customHeight="1" x14ac:dyDescent="0.3">
      <c r="A226" s="5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5"/>
      <c r="U226" s="5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</row>
    <row r="227" spans="1:39" ht="13.5" customHeight="1" x14ac:dyDescent="0.3">
      <c r="A227" s="5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5"/>
      <c r="U227" s="5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</row>
    <row r="228" spans="1:39" ht="13.5" customHeight="1" x14ac:dyDescent="0.3">
      <c r="A228" s="5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5"/>
      <c r="U228" s="5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</row>
    <row r="229" spans="1:39" ht="13.5" customHeight="1" x14ac:dyDescent="0.3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</row>
    <row r="230" spans="1:39" ht="13.5" customHeight="1" x14ac:dyDescent="0.3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</row>
    <row r="231" spans="1:39" ht="13.5" customHeight="1" x14ac:dyDescent="0.3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</row>
    <row r="232" spans="1:39" ht="13.5" customHeight="1" x14ac:dyDescent="0.3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</row>
    <row r="233" spans="1:39" ht="13.5" customHeight="1" x14ac:dyDescent="0.3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</row>
    <row r="234" spans="1:39" ht="13.5" customHeight="1" x14ac:dyDescent="0.3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</row>
    <row r="235" spans="1:39" ht="13.5" customHeight="1" x14ac:dyDescent="0.3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</row>
    <row r="236" spans="1:39" ht="13.5" customHeight="1" x14ac:dyDescent="0.3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</row>
    <row r="237" spans="1:39" ht="13.5" customHeight="1" x14ac:dyDescent="0.3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</row>
    <row r="238" spans="1:39" ht="13.5" customHeight="1" x14ac:dyDescent="0.3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</row>
    <row r="239" spans="1:39" ht="13.5" customHeight="1" x14ac:dyDescent="0.3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</row>
    <row r="240" spans="1:39" ht="13.5" customHeight="1" x14ac:dyDescent="0.3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</row>
    <row r="241" spans="1:39" ht="13.5" customHeight="1" x14ac:dyDescent="0.3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</row>
    <row r="242" spans="1:39" ht="13.5" customHeight="1" x14ac:dyDescent="0.3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</row>
    <row r="243" spans="1:39" ht="13.5" customHeight="1" x14ac:dyDescent="0.3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</row>
    <row r="244" spans="1:39" ht="13.5" customHeight="1" x14ac:dyDescent="0.3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</row>
    <row r="245" spans="1:39" ht="13.5" customHeight="1" x14ac:dyDescent="0.3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</row>
    <row r="246" spans="1:39" ht="13.5" customHeight="1" x14ac:dyDescent="0.3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</row>
    <row r="247" spans="1:39" ht="13.5" customHeight="1" x14ac:dyDescent="0.3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</row>
    <row r="248" spans="1:39" ht="13.5" customHeight="1" x14ac:dyDescent="0.3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</row>
    <row r="249" spans="1:39" ht="13.5" customHeight="1" x14ac:dyDescent="0.3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</row>
    <row r="250" spans="1:39" ht="13.5" customHeight="1" x14ac:dyDescent="0.3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</row>
    <row r="251" spans="1:39" ht="13.5" customHeight="1" x14ac:dyDescent="0.3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</row>
    <row r="252" spans="1:39" ht="13.5" customHeight="1" x14ac:dyDescent="0.3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</row>
    <row r="253" spans="1:39" ht="13.5" customHeight="1" x14ac:dyDescent="0.3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</row>
    <row r="254" spans="1:39" ht="13.5" customHeight="1" x14ac:dyDescent="0.3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</row>
    <row r="255" spans="1:39" ht="13.5" customHeight="1" x14ac:dyDescent="0.3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</row>
    <row r="256" spans="1:39" ht="13.5" customHeight="1" x14ac:dyDescent="0.3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</row>
    <row r="257" spans="1:39" ht="13.5" customHeight="1" x14ac:dyDescent="0.3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</row>
    <row r="258" spans="1:39" ht="13.5" customHeight="1" x14ac:dyDescent="0.3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</row>
    <row r="259" spans="1:39" ht="13.5" customHeight="1" x14ac:dyDescent="0.3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</row>
    <row r="260" spans="1:39" ht="13.5" customHeight="1" x14ac:dyDescent="0.3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</row>
    <row r="261" spans="1:39" ht="13.5" customHeight="1" x14ac:dyDescent="0.3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</row>
    <row r="262" spans="1:39" ht="13.5" customHeight="1" x14ac:dyDescent="0.3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</row>
    <row r="263" spans="1:39" ht="13.5" customHeight="1" x14ac:dyDescent="0.3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</row>
    <row r="264" spans="1:39" ht="13.5" customHeight="1" x14ac:dyDescent="0.3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</row>
    <row r="265" spans="1:39" ht="13.5" customHeight="1" x14ac:dyDescent="0.3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</row>
    <row r="266" spans="1:39" ht="13.5" customHeight="1" x14ac:dyDescent="0.3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</row>
    <row r="267" spans="1:39" ht="13.5" customHeight="1" x14ac:dyDescent="0.3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</row>
    <row r="268" spans="1:39" ht="13.5" customHeight="1" x14ac:dyDescent="0.3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</row>
    <row r="269" spans="1:39" ht="13.5" customHeight="1" x14ac:dyDescent="0.3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</row>
    <row r="270" spans="1:39" ht="13.5" customHeight="1" x14ac:dyDescent="0.3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</row>
    <row r="271" spans="1:39" ht="13.5" customHeight="1" x14ac:dyDescent="0.3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</row>
    <row r="272" spans="1:39" ht="13.5" customHeight="1" x14ac:dyDescent="0.3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</row>
    <row r="273" spans="1:39" ht="13.5" customHeight="1" x14ac:dyDescent="0.3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</row>
    <row r="274" spans="1:39" ht="13.5" customHeight="1" x14ac:dyDescent="0.3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</row>
    <row r="275" spans="1:39" ht="13.5" customHeight="1" x14ac:dyDescent="0.3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</row>
    <row r="276" spans="1:39" ht="13.5" customHeight="1" x14ac:dyDescent="0.3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</row>
    <row r="277" spans="1:39" ht="13.5" customHeight="1" x14ac:dyDescent="0.3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</row>
    <row r="278" spans="1:39" ht="13.5" customHeight="1" x14ac:dyDescent="0.3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</row>
    <row r="279" spans="1:39" ht="13.5" customHeight="1" x14ac:dyDescent="0.3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</row>
    <row r="280" spans="1:39" ht="13.5" customHeight="1" x14ac:dyDescent="0.3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</row>
    <row r="281" spans="1:39" ht="13.5" customHeight="1" x14ac:dyDescent="0.3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</row>
    <row r="282" spans="1:39" ht="13.5" customHeight="1" x14ac:dyDescent="0.3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</row>
    <row r="283" spans="1:39" ht="13.5" customHeight="1" x14ac:dyDescent="0.3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</row>
    <row r="284" spans="1:39" ht="13.5" customHeight="1" x14ac:dyDescent="0.3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</row>
    <row r="285" spans="1:39" ht="13.5" customHeight="1" x14ac:dyDescent="0.3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</row>
    <row r="286" spans="1:39" ht="13.5" customHeight="1" x14ac:dyDescent="0.3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</row>
    <row r="287" spans="1:39" ht="13.5" customHeight="1" x14ac:dyDescent="0.3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</row>
    <row r="288" spans="1:39" ht="13.5" customHeight="1" x14ac:dyDescent="0.3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</row>
    <row r="289" spans="1:39" ht="13.5" customHeight="1" x14ac:dyDescent="0.3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</row>
    <row r="290" spans="1:39" ht="13.5" customHeight="1" x14ac:dyDescent="0.3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</row>
    <row r="291" spans="1:39" ht="13.5" customHeight="1" x14ac:dyDescent="0.3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</row>
    <row r="292" spans="1:39" ht="13.5" customHeight="1" x14ac:dyDescent="0.3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</row>
    <row r="293" spans="1:39" ht="13.5" customHeight="1" x14ac:dyDescent="0.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</row>
    <row r="294" spans="1:39" ht="13.5" customHeight="1" x14ac:dyDescent="0.3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</row>
    <row r="295" spans="1:39" ht="13.5" customHeight="1" x14ac:dyDescent="0.3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</row>
    <row r="296" spans="1:39" ht="13.5" customHeight="1" x14ac:dyDescent="0.3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</row>
    <row r="297" spans="1:39" ht="13.5" customHeight="1" x14ac:dyDescent="0.3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</row>
    <row r="298" spans="1:39" ht="13.5" customHeight="1" x14ac:dyDescent="0.3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</row>
    <row r="299" spans="1:39" ht="13.5" customHeight="1" x14ac:dyDescent="0.3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</row>
    <row r="300" spans="1:39" ht="13.5" customHeight="1" x14ac:dyDescent="0.3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</row>
    <row r="301" spans="1:39" ht="13.5" customHeight="1" x14ac:dyDescent="0.3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</row>
    <row r="302" spans="1:39" ht="13.5" customHeight="1" x14ac:dyDescent="0.3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</row>
    <row r="303" spans="1:39" ht="13.5" customHeight="1" x14ac:dyDescent="0.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</row>
    <row r="304" spans="1:39" ht="13.5" customHeight="1" x14ac:dyDescent="0.3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</row>
    <row r="305" spans="1:39" ht="13.5" customHeight="1" x14ac:dyDescent="0.3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</row>
    <row r="306" spans="1:39" ht="13.5" customHeight="1" x14ac:dyDescent="0.3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</row>
    <row r="307" spans="1:39" ht="13.5" customHeight="1" x14ac:dyDescent="0.3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</row>
    <row r="308" spans="1:39" ht="13.5" customHeight="1" x14ac:dyDescent="0.3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</row>
    <row r="309" spans="1:39" ht="13.5" customHeight="1" x14ac:dyDescent="0.3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</row>
    <row r="310" spans="1:39" ht="13.5" customHeight="1" x14ac:dyDescent="0.3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</row>
    <row r="311" spans="1:39" ht="13.5" customHeight="1" x14ac:dyDescent="0.3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</row>
    <row r="312" spans="1:39" ht="13.5" customHeight="1" x14ac:dyDescent="0.3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</row>
    <row r="313" spans="1:39" ht="13.5" customHeight="1" x14ac:dyDescent="0.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</row>
    <row r="314" spans="1:39" ht="13.5" customHeight="1" x14ac:dyDescent="0.3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</row>
    <row r="315" spans="1:39" ht="13.5" customHeight="1" x14ac:dyDescent="0.3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</row>
    <row r="316" spans="1:39" ht="13.5" customHeight="1" x14ac:dyDescent="0.3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</row>
    <row r="317" spans="1:39" ht="13.5" customHeight="1" x14ac:dyDescent="0.3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</row>
    <row r="318" spans="1:39" ht="13.5" customHeight="1" x14ac:dyDescent="0.3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</row>
    <row r="319" spans="1:39" ht="13.5" customHeight="1" x14ac:dyDescent="0.3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</row>
    <row r="320" spans="1:39" ht="13.5" customHeight="1" x14ac:dyDescent="0.3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</row>
    <row r="321" spans="1:39" ht="13.5" customHeight="1" x14ac:dyDescent="0.3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</row>
    <row r="322" spans="1:39" ht="13.5" customHeight="1" x14ac:dyDescent="0.3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</row>
    <row r="323" spans="1:39" ht="13.5" customHeight="1" x14ac:dyDescent="0.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</row>
    <row r="324" spans="1:39" ht="13.5" customHeight="1" x14ac:dyDescent="0.3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</row>
    <row r="325" spans="1:39" ht="13.5" customHeight="1" x14ac:dyDescent="0.3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</row>
    <row r="326" spans="1:39" ht="13.5" customHeight="1" x14ac:dyDescent="0.3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</row>
    <row r="327" spans="1:39" ht="13.5" customHeight="1" x14ac:dyDescent="0.3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</row>
    <row r="328" spans="1:39" ht="13.5" customHeight="1" x14ac:dyDescent="0.3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</row>
    <row r="329" spans="1:39" ht="13.5" customHeight="1" x14ac:dyDescent="0.3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</row>
    <row r="330" spans="1:39" ht="13.5" customHeight="1" x14ac:dyDescent="0.3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</row>
    <row r="331" spans="1:39" ht="13.5" customHeight="1" x14ac:dyDescent="0.3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</row>
    <row r="332" spans="1:39" ht="13.5" customHeight="1" x14ac:dyDescent="0.3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</row>
    <row r="333" spans="1:39" ht="13.5" customHeight="1" x14ac:dyDescent="0.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</row>
    <row r="334" spans="1:39" ht="13.5" customHeight="1" x14ac:dyDescent="0.3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</row>
    <row r="335" spans="1:39" ht="13.5" customHeight="1" x14ac:dyDescent="0.3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</row>
    <row r="336" spans="1:39" ht="13.5" customHeight="1" x14ac:dyDescent="0.3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</row>
    <row r="337" spans="1:39" ht="13.5" customHeight="1" x14ac:dyDescent="0.3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</row>
    <row r="338" spans="1:39" ht="13.5" customHeight="1" x14ac:dyDescent="0.3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</row>
    <row r="339" spans="1:39" ht="13.5" customHeight="1" x14ac:dyDescent="0.3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</row>
    <row r="340" spans="1:39" ht="13.5" customHeight="1" x14ac:dyDescent="0.3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</row>
    <row r="341" spans="1:39" ht="13.5" customHeight="1" x14ac:dyDescent="0.3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</row>
    <row r="342" spans="1:39" ht="13.5" customHeight="1" x14ac:dyDescent="0.3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</row>
    <row r="343" spans="1:39" ht="13.5" customHeight="1" x14ac:dyDescent="0.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</row>
    <row r="344" spans="1:39" ht="13.5" customHeight="1" x14ac:dyDescent="0.3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</row>
    <row r="345" spans="1:39" ht="13.5" customHeight="1" x14ac:dyDescent="0.3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</row>
    <row r="346" spans="1:39" ht="13.5" customHeight="1" x14ac:dyDescent="0.3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</row>
    <row r="347" spans="1:39" ht="13.5" customHeight="1" x14ac:dyDescent="0.3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</row>
    <row r="348" spans="1:39" ht="13.5" customHeight="1" x14ac:dyDescent="0.3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</row>
    <row r="349" spans="1:39" ht="13.5" customHeight="1" x14ac:dyDescent="0.3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</row>
    <row r="350" spans="1:39" ht="13.5" customHeight="1" x14ac:dyDescent="0.3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</row>
    <row r="351" spans="1:39" ht="13.5" customHeight="1" x14ac:dyDescent="0.3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</row>
    <row r="352" spans="1:39" ht="13.5" customHeight="1" x14ac:dyDescent="0.3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</row>
    <row r="353" spans="1:39" ht="13.5" customHeight="1" x14ac:dyDescent="0.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</row>
    <row r="354" spans="1:39" ht="13.5" customHeight="1" x14ac:dyDescent="0.3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</row>
    <row r="355" spans="1:39" ht="13.5" customHeight="1" x14ac:dyDescent="0.3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</row>
    <row r="356" spans="1:39" ht="13.5" customHeight="1" x14ac:dyDescent="0.3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</row>
    <row r="357" spans="1:39" ht="13.5" customHeight="1" x14ac:dyDescent="0.3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</row>
    <row r="358" spans="1:39" ht="13.5" customHeight="1" x14ac:dyDescent="0.3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</row>
    <row r="359" spans="1:39" ht="13.5" customHeight="1" x14ac:dyDescent="0.3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</row>
    <row r="360" spans="1:39" ht="13.5" customHeight="1" x14ac:dyDescent="0.3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</row>
    <row r="361" spans="1:39" ht="13.5" customHeight="1" x14ac:dyDescent="0.3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</row>
    <row r="362" spans="1:39" ht="13.5" customHeight="1" x14ac:dyDescent="0.3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</row>
    <row r="363" spans="1:39" ht="13.5" customHeight="1" x14ac:dyDescent="0.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</row>
    <row r="364" spans="1:39" ht="13.5" customHeight="1" x14ac:dyDescent="0.3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</row>
    <row r="365" spans="1:39" ht="13.5" customHeight="1" x14ac:dyDescent="0.3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</row>
    <row r="366" spans="1:39" ht="13.5" customHeight="1" x14ac:dyDescent="0.3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</row>
    <row r="367" spans="1:39" ht="13.5" customHeight="1" x14ac:dyDescent="0.3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</row>
    <row r="368" spans="1:39" ht="13.5" customHeight="1" x14ac:dyDescent="0.3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</row>
    <row r="369" spans="1:39" ht="13.5" customHeight="1" x14ac:dyDescent="0.3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</row>
    <row r="370" spans="1:39" ht="13.5" customHeight="1" x14ac:dyDescent="0.3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</row>
    <row r="371" spans="1:39" ht="13.5" customHeight="1" x14ac:dyDescent="0.3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</row>
    <row r="372" spans="1:39" ht="13.5" customHeight="1" x14ac:dyDescent="0.3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</row>
    <row r="373" spans="1:39" ht="13.5" customHeight="1" x14ac:dyDescent="0.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</row>
    <row r="374" spans="1:39" ht="13.5" customHeight="1" x14ac:dyDescent="0.3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</row>
    <row r="375" spans="1:39" ht="13.5" customHeight="1" x14ac:dyDescent="0.3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</row>
    <row r="376" spans="1:39" ht="13.5" customHeight="1" x14ac:dyDescent="0.3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</row>
    <row r="377" spans="1:39" ht="13.5" customHeight="1" x14ac:dyDescent="0.3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</row>
    <row r="378" spans="1:39" ht="13.5" customHeight="1" x14ac:dyDescent="0.3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</row>
    <row r="379" spans="1:39" ht="13.5" customHeight="1" x14ac:dyDescent="0.3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</row>
    <row r="380" spans="1:39" ht="13.5" customHeight="1" x14ac:dyDescent="0.3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</row>
    <row r="381" spans="1:39" ht="13.5" customHeight="1" x14ac:dyDescent="0.3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</row>
    <row r="382" spans="1:39" ht="13.5" customHeight="1" x14ac:dyDescent="0.3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</row>
    <row r="383" spans="1:39" ht="13.5" customHeight="1" x14ac:dyDescent="0.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</row>
    <row r="384" spans="1:39" ht="13.5" customHeight="1" x14ac:dyDescent="0.3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</row>
    <row r="385" spans="1:39" ht="13.5" customHeight="1" x14ac:dyDescent="0.3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</row>
    <row r="386" spans="1:39" ht="13.5" customHeight="1" x14ac:dyDescent="0.3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</row>
    <row r="387" spans="1:39" ht="13.5" customHeight="1" x14ac:dyDescent="0.3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</row>
    <row r="388" spans="1:39" ht="13.5" customHeight="1" x14ac:dyDescent="0.3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</row>
    <row r="389" spans="1:39" ht="13.5" customHeight="1" x14ac:dyDescent="0.3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</row>
    <row r="390" spans="1:39" ht="13.5" customHeight="1" x14ac:dyDescent="0.3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</row>
    <row r="391" spans="1:39" ht="13.5" customHeight="1" x14ac:dyDescent="0.3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</row>
    <row r="392" spans="1:39" ht="13.5" customHeight="1" x14ac:dyDescent="0.3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</row>
    <row r="393" spans="1:39" ht="13.5" customHeight="1" x14ac:dyDescent="0.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</row>
    <row r="394" spans="1:39" ht="13.5" customHeight="1" x14ac:dyDescent="0.3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</row>
    <row r="395" spans="1:39" ht="13.5" customHeight="1" x14ac:dyDescent="0.3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</row>
    <row r="396" spans="1:39" ht="13.5" customHeight="1" x14ac:dyDescent="0.3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</row>
    <row r="397" spans="1:39" ht="13.5" customHeight="1" x14ac:dyDescent="0.3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</row>
    <row r="398" spans="1:39" ht="13.5" customHeight="1" x14ac:dyDescent="0.3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</row>
    <row r="399" spans="1:39" ht="13.5" customHeight="1" x14ac:dyDescent="0.3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</row>
    <row r="400" spans="1:39" ht="13.5" customHeight="1" x14ac:dyDescent="0.3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</row>
    <row r="401" spans="1:39" ht="13.5" customHeight="1" x14ac:dyDescent="0.3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</row>
    <row r="402" spans="1:39" ht="13.5" customHeight="1" x14ac:dyDescent="0.3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</row>
    <row r="403" spans="1:39" ht="13.5" customHeight="1" x14ac:dyDescent="0.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</row>
    <row r="404" spans="1:39" ht="13.5" customHeight="1" x14ac:dyDescent="0.3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</row>
    <row r="405" spans="1:39" ht="13.5" customHeight="1" x14ac:dyDescent="0.3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</row>
    <row r="406" spans="1:39" ht="13.5" customHeight="1" x14ac:dyDescent="0.3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</row>
    <row r="407" spans="1:39" ht="13.5" customHeight="1" x14ac:dyDescent="0.3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</row>
    <row r="408" spans="1:39" ht="13.5" customHeight="1" x14ac:dyDescent="0.3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</row>
    <row r="409" spans="1:39" ht="13.5" customHeight="1" x14ac:dyDescent="0.3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</row>
    <row r="410" spans="1:39" ht="13.5" customHeight="1" x14ac:dyDescent="0.3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</row>
    <row r="411" spans="1:39" ht="13.5" customHeight="1" x14ac:dyDescent="0.3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</row>
    <row r="412" spans="1:39" ht="13.5" customHeight="1" x14ac:dyDescent="0.3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</row>
    <row r="413" spans="1:39" ht="13.5" customHeight="1" x14ac:dyDescent="0.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</row>
    <row r="414" spans="1:39" ht="13.5" customHeight="1" x14ac:dyDescent="0.3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</row>
    <row r="415" spans="1:39" ht="13.5" customHeight="1" x14ac:dyDescent="0.3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</row>
    <row r="416" spans="1:39" ht="13.5" customHeight="1" x14ac:dyDescent="0.3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</row>
    <row r="417" spans="1:39" ht="13.5" customHeight="1" x14ac:dyDescent="0.3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</row>
    <row r="418" spans="1:39" ht="13.5" customHeight="1" x14ac:dyDescent="0.3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</row>
    <row r="419" spans="1:39" ht="13.5" customHeight="1" x14ac:dyDescent="0.3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</row>
    <row r="420" spans="1:39" ht="13.5" customHeight="1" x14ac:dyDescent="0.3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</row>
    <row r="421" spans="1:39" ht="13.5" customHeight="1" x14ac:dyDescent="0.3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</row>
    <row r="422" spans="1:39" ht="13.5" customHeight="1" x14ac:dyDescent="0.3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</row>
    <row r="423" spans="1:39" ht="13.5" customHeight="1" x14ac:dyDescent="0.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</row>
    <row r="424" spans="1:39" ht="13.5" customHeight="1" x14ac:dyDescent="0.3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</row>
    <row r="425" spans="1:39" ht="13.5" customHeight="1" x14ac:dyDescent="0.3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</row>
    <row r="426" spans="1:39" ht="13.5" customHeight="1" x14ac:dyDescent="0.3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</row>
    <row r="427" spans="1:39" ht="13.5" customHeight="1" x14ac:dyDescent="0.3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</row>
    <row r="428" spans="1:39" ht="13.5" customHeight="1" x14ac:dyDescent="0.3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</row>
    <row r="429" spans="1:39" ht="13.5" customHeight="1" x14ac:dyDescent="0.3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</row>
    <row r="430" spans="1:39" ht="13.5" customHeight="1" x14ac:dyDescent="0.3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</row>
    <row r="431" spans="1:39" ht="13.5" customHeight="1" x14ac:dyDescent="0.3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</row>
    <row r="432" spans="1:39" ht="13.5" customHeight="1" x14ac:dyDescent="0.3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</row>
    <row r="433" spans="1:39" ht="13.5" customHeight="1" x14ac:dyDescent="0.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</row>
    <row r="434" spans="1:39" ht="13.5" customHeight="1" x14ac:dyDescent="0.3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</row>
    <row r="435" spans="1:39" ht="13.5" customHeight="1" x14ac:dyDescent="0.3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</row>
    <row r="436" spans="1:39" ht="13.5" customHeight="1" x14ac:dyDescent="0.3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</row>
    <row r="437" spans="1:39" ht="13.5" customHeight="1" x14ac:dyDescent="0.3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</row>
    <row r="438" spans="1:39" ht="13.5" customHeight="1" x14ac:dyDescent="0.3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  <c r="AL438" s="60"/>
      <c r="AM438" s="60"/>
    </row>
    <row r="439" spans="1:39" ht="13.5" customHeight="1" x14ac:dyDescent="0.3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</row>
    <row r="440" spans="1:39" ht="13.5" customHeight="1" x14ac:dyDescent="0.3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60"/>
    </row>
    <row r="441" spans="1:39" ht="13.5" customHeight="1" x14ac:dyDescent="0.3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</row>
    <row r="442" spans="1:39" ht="13.5" customHeight="1" x14ac:dyDescent="0.3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  <c r="AL442" s="60"/>
      <c r="AM442" s="60"/>
    </row>
    <row r="443" spans="1:39" ht="13.5" customHeight="1" x14ac:dyDescent="0.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</row>
    <row r="444" spans="1:39" ht="13.5" customHeight="1" x14ac:dyDescent="0.3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</row>
    <row r="445" spans="1:39" ht="13.5" customHeight="1" x14ac:dyDescent="0.3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</row>
    <row r="446" spans="1:39" ht="13.5" customHeight="1" x14ac:dyDescent="0.3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  <c r="AL446" s="60"/>
      <c r="AM446" s="60"/>
    </row>
    <row r="447" spans="1:39" ht="13.5" customHeight="1" x14ac:dyDescent="0.3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</row>
    <row r="448" spans="1:39" ht="13.5" customHeight="1" x14ac:dyDescent="0.3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</row>
    <row r="449" spans="1:39" ht="13.5" customHeight="1" x14ac:dyDescent="0.3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</row>
    <row r="450" spans="1:39" ht="13.5" customHeight="1" x14ac:dyDescent="0.3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  <c r="AL450" s="60"/>
      <c r="AM450" s="60"/>
    </row>
    <row r="451" spans="1:39" ht="13.5" customHeight="1" x14ac:dyDescent="0.3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</row>
    <row r="452" spans="1:39" ht="13.5" customHeight="1" x14ac:dyDescent="0.3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  <c r="AL452" s="60"/>
      <c r="AM452" s="60"/>
    </row>
    <row r="453" spans="1:39" ht="13.5" customHeight="1" x14ac:dyDescent="0.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</row>
    <row r="454" spans="1:39" ht="13.5" customHeight="1" x14ac:dyDescent="0.3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</row>
    <row r="455" spans="1:39" ht="13.5" customHeight="1" x14ac:dyDescent="0.3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</row>
    <row r="456" spans="1:39" ht="13.5" customHeight="1" x14ac:dyDescent="0.3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  <c r="AL456" s="60"/>
      <c r="AM456" s="60"/>
    </row>
    <row r="457" spans="1:39" ht="13.5" customHeight="1" x14ac:dyDescent="0.3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</row>
    <row r="458" spans="1:39" ht="13.5" customHeight="1" x14ac:dyDescent="0.3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  <c r="AL458" s="60"/>
      <c r="AM458" s="60"/>
    </row>
    <row r="459" spans="1:39" ht="13.5" customHeight="1" x14ac:dyDescent="0.3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</row>
    <row r="460" spans="1:39" ht="13.5" customHeight="1" x14ac:dyDescent="0.3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</row>
    <row r="461" spans="1:39" ht="13.5" customHeight="1" x14ac:dyDescent="0.3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</row>
    <row r="462" spans="1:39" ht="13.5" customHeight="1" x14ac:dyDescent="0.3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  <c r="AL462" s="60"/>
      <c r="AM462" s="60"/>
    </row>
    <row r="463" spans="1:39" ht="13.5" customHeight="1" x14ac:dyDescent="0.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</row>
    <row r="464" spans="1:39" ht="13.5" customHeight="1" x14ac:dyDescent="0.3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  <c r="AL464" s="60"/>
      <c r="AM464" s="60"/>
    </row>
    <row r="465" spans="1:39" ht="13.5" customHeight="1" x14ac:dyDescent="0.3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</row>
    <row r="466" spans="1:39" ht="13.5" customHeight="1" x14ac:dyDescent="0.3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  <c r="AL466" s="60"/>
      <c r="AM466" s="60"/>
    </row>
    <row r="467" spans="1:39" ht="13.5" customHeight="1" x14ac:dyDescent="0.3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</row>
    <row r="468" spans="1:39" ht="13.5" customHeight="1" x14ac:dyDescent="0.3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  <c r="AL468" s="60"/>
      <c r="AM468" s="60"/>
    </row>
    <row r="469" spans="1:39" ht="13.5" customHeight="1" x14ac:dyDescent="0.3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</row>
    <row r="470" spans="1:39" ht="13.5" customHeight="1" x14ac:dyDescent="0.3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  <c r="AL470" s="60"/>
      <c r="AM470" s="60"/>
    </row>
    <row r="471" spans="1:39" ht="13.5" customHeight="1" x14ac:dyDescent="0.3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</row>
    <row r="472" spans="1:39" ht="13.5" customHeight="1" x14ac:dyDescent="0.3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  <c r="AL472" s="60"/>
      <c r="AM472" s="60"/>
    </row>
    <row r="473" spans="1:39" ht="13.5" customHeight="1" x14ac:dyDescent="0.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</row>
    <row r="474" spans="1:39" ht="13.5" customHeight="1" x14ac:dyDescent="0.3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  <c r="AL474" s="60"/>
      <c r="AM474" s="60"/>
    </row>
    <row r="475" spans="1:39" ht="13.5" customHeight="1" x14ac:dyDescent="0.3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</row>
    <row r="476" spans="1:39" ht="13.5" customHeight="1" x14ac:dyDescent="0.3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  <c r="AL476" s="60"/>
      <c r="AM476" s="60"/>
    </row>
    <row r="477" spans="1:39" ht="13.5" customHeight="1" x14ac:dyDescent="0.3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</row>
    <row r="478" spans="1:39" ht="13.5" customHeight="1" x14ac:dyDescent="0.3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  <c r="AL478" s="60"/>
      <c r="AM478" s="60"/>
    </row>
    <row r="479" spans="1:39" ht="13.5" customHeight="1" x14ac:dyDescent="0.3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</row>
    <row r="480" spans="1:39" ht="13.5" customHeight="1" x14ac:dyDescent="0.3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  <c r="AL480" s="60"/>
      <c r="AM480" s="60"/>
    </row>
    <row r="481" spans="1:39" ht="13.5" customHeight="1" x14ac:dyDescent="0.3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</row>
    <row r="482" spans="1:39" ht="13.5" customHeight="1" x14ac:dyDescent="0.3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  <c r="AL482" s="60"/>
      <c r="AM482" s="60"/>
    </row>
    <row r="483" spans="1:39" ht="13.5" customHeight="1" x14ac:dyDescent="0.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</row>
    <row r="484" spans="1:39" ht="13.5" customHeight="1" x14ac:dyDescent="0.3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</row>
    <row r="485" spans="1:39" ht="13.5" customHeight="1" x14ac:dyDescent="0.3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</row>
    <row r="486" spans="1:39" ht="13.5" customHeight="1" x14ac:dyDescent="0.3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  <c r="AL486" s="60"/>
      <c r="AM486" s="60"/>
    </row>
    <row r="487" spans="1:39" ht="13.5" customHeight="1" x14ac:dyDescent="0.3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</row>
    <row r="488" spans="1:39" ht="13.5" customHeight="1" x14ac:dyDescent="0.3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  <c r="AL488" s="60"/>
      <c r="AM488" s="60"/>
    </row>
    <row r="489" spans="1:39" ht="13.5" customHeight="1" x14ac:dyDescent="0.3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</row>
    <row r="490" spans="1:39" ht="13.5" customHeight="1" x14ac:dyDescent="0.3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  <c r="AL490" s="60"/>
      <c r="AM490" s="60"/>
    </row>
    <row r="491" spans="1:39" ht="13.5" customHeight="1" x14ac:dyDescent="0.3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</row>
    <row r="492" spans="1:39" ht="13.5" customHeight="1" x14ac:dyDescent="0.3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  <c r="AL492" s="60"/>
      <c r="AM492" s="60"/>
    </row>
    <row r="493" spans="1:39" ht="13.5" customHeight="1" x14ac:dyDescent="0.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  <c r="AL493" s="60"/>
      <c r="AM493" s="60"/>
    </row>
    <row r="494" spans="1:39" ht="13.5" customHeight="1" x14ac:dyDescent="0.3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  <c r="AL494" s="60"/>
      <c r="AM494" s="60"/>
    </row>
    <row r="495" spans="1:39" ht="13.5" customHeight="1" x14ac:dyDescent="0.3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  <c r="AL495" s="60"/>
      <c r="AM495" s="60"/>
    </row>
    <row r="496" spans="1:39" ht="13.5" customHeight="1" x14ac:dyDescent="0.3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  <c r="AL496" s="60"/>
      <c r="AM496" s="60"/>
    </row>
    <row r="497" spans="1:39" ht="13.5" customHeight="1" x14ac:dyDescent="0.3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  <c r="AL497" s="60"/>
      <c r="AM497" s="60"/>
    </row>
    <row r="498" spans="1:39" ht="13.5" customHeight="1" x14ac:dyDescent="0.3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  <c r="AL498" s="60"/>
      <c r="AM498" s="60"/>
    </row>
    <row r="499" spans="1:39" ht="13.5" customHeight="1" x14ac:dyDescent="0.3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  <c r="AL499" s="60"/>
      <c r="AM499" s="60"/>
    </row>
    <row r="500" spans="1:39" ht="13.5" customHeight="1" x14ac:dyDescent="0.3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  <c r="AL500" s="60"/>
      <c r="AM500" s="60"/>
    </row>
    <row r="501" spans="1:39" ht="13.5" customHeight="1" x14ac:dyDescent="0.3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  <c r="AL501" s="60"/>
      <c r="AM501" s="60"/>
    </row>
    <row r="502" spans="1:39" ht="13.5" customHeight="1" x14ac:dyDescent="0.3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</row>
    <row r="503" spans="1:39" ht="13.5" customHeight="1" x14ac:dyDescent="0.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  <c r="AL503" s="60"/>
      <c r="AM503" s="60"/>
    </row>
    <row r="504" spans="1:39" ht="13.5" customHeight="1" x14ac:dyDescent="0.3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  <c r="AL504" s="60"/>
      <c r="AM504" s="60"/>
    </row>
    <row r="505" spans="1:39" ht="13.5" customHeight="1" x14ac:dyDescent="0.3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  <c r="AL505" s="60"/>
      <c r="AM505" s="60"/>
    </row>
    <row r="506" spans="1:39" ht="13.5" customHeight="1" x14ac:dyDescent="0.3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  <c r="AL506" s="60"/>
      <c r="AM506" s="60"/>
    </row>
    <row r="507" spans="1:39" ht="13.5" customHeight="1" x14ac:dyDescent="0.3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  <c r="AL507" s="60"/>
      <c r="AM507" s="60"/>
    </row>
    <row r="508" spans="1:39" ht="13.5" customHeight="1" x14ac:dyDescent="0.3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  <c r="AL508" s="60"/>
      <c r="AM508" s="60"/>
    </row>
    <row r="509" spans="1:39" ht="13.5" customHeight="1" x14ac:dyDescent="0.3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  <c r="AL509" s="60"/>
      <c r="AM509" s="60"/>
    </row>
    <row r="510" spans="1:39" ht="13.5" customHeight="1" x14ac:dyDescent="0.3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  <c r="AL510" s="60"/>
      <c r="AM510" s="60"/>
    </row>
    <row r="511" spans="1:39" ht="13.5" customHeight="1" x14ac:dyDescent="0.3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  <c r="AL511" s="60"/>
      <c r="AM511" s="60"/>
    </row>
    <row r="512" spans="1:39" ht="13.5" customHeight="1" x14ac:dyDescent="0.3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  <c r="AL512" s="60"/>
      <c r="AM512" s="60"/>
    </row>
    <row r="513" spans="1:39" ht="13.5" customHeight="1" x14ac:dyDescent="0.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  <c r="AL513" s="60"/>
      <c r="AM513" s="60"/>
    </row>
    <row r="514" spans="1:39" ht="13.5" customHeight="1" x14ac:dyDescent="0.3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  <c r="AL514" s="60"/>
      <c r="AM514" s="60"/>
    </row>
    <row r="515" spans="1:39" ht="13.5" customHeight="1" x14ac:dyDescent="0.3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  <c r="AL515" s="60"/>
      <c r="AM515" s="60"/>
    </row>
    <row r="516" spans="1:39" ht="13.5" customHeight="1" x14ac:dyDescent="0.3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  <c r="AL516" s="60"/>
      <c r="AM516" s="60"/>
    </row>
    <row r="517" spans="1:39" ht="13.5" customHeight="1" x14ac:dyDescent="0.3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  <c r="AL517" s="60"/>
      <c r="AM517" s="60"/>
    </row>
    <row r="518" spans="1:39" ht="13.5" customHeight="1" x14ac:dyDescent="0.3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  <c r="AL518" s="60"/>
      <c r="AM518" s="60"/>
    </row>
    <row r="519" spans="1:39" ht="13.5" customHeight="1" x14ac:dyDescent="0.3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  <c r="AL519" s="60"/>
      <c r="AM519" s="60"/>
    </row>
    <row r="520" spans="1:39" ht="13.5" customHeight="1" x14ac:dyDescent="0.3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  <c r="AL520" s="60"/>
      <c r="AM520" s="60"/>
    </row>
    <row r="521" spans="1:39" ht="13.5" customHeight="1" x14ac:dyDescent="0.3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  <c r="AL521" s="60"/>
      <c r="AM521" s="60"/>
    </row>
    <row r="522" spans="1:39" ht="13.5" customHeight="1" x14ac:dyDescent="0.3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  <c r="AL522" s="60"/>
      <c r="AM522" s="60"/>
    </row>
    <row r="523" spans="1:39" ht="13.5" customHeight="1" x14ac:dyDescent="0.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  <c r="AL523" s="60"/>
      <c r="AM523" s="60"/>
    </row>
    <row r="524" spans="1:39" ht="13.5" customHeight="1" x14ac:dyDescent="0.3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  <c r="AL524" s="60"/>
      <c r="AM524" s="60"/>
    </row>
    <row r="525" spans="1:39" ht="13.5" customHeight="1" x14ac:dyDescent="0.3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  <c r="AL525" s="60"/>
      <c r="AM525" s="60"/>
    </row>
    <row r="526" spans="1:39" ht="13.5" customHeight="1" x14ac:dyDescent="0.3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  <c r="AL526" s="60"/>
      <c r="AM526" s="60"/>
    </row>
    <row r="527" spans="1:39" ht="13.5" customHeight="1" x14ac:dyDescent="0.3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  <c r="AL527" s="60"/>
      <c r="AM527" s="60"/>
    </row>
    <row r="528" spans="1:39" ht="13.5" customHeight="1" x14ac:dyDescent="0.3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  <c r="AL528" s="60"/>
      <c r="AM528" s="60"/>
    </row>
    <row r="529" spans="1:39" ht="13.5" customHeight="1" x14ac:dyDescent="0.3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  <c r="AL529" s="60"/>
      <c r="AM529" s="60"/>
    </row>
    <row r="530" spans="1:39" ht="13.5" customHeight="1" x14ac:dyDescent="0.3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  <c r="AL530" s="60"/>
      <c r="AM530" s="60"/>
    </row>
    <row r="531" spans="1:39" ht="13.5" customHeight="1" x14ac:dyDescent="0.3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  <c r="AL531" s="60"/>
      <c r="AM531" s="60"/>
    </row>
    <row r="532" spans="1:39" ht="13.5" customHeight="1" x14ac:dyDescent="0.3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  <c r="AL532" s="60"/>
      <c r="AM532" s="60"/>
    </row>
    <row r="533" spans="1:39" ht="13.5" customHeight="1" x14ac:dyDescent="0.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  <c r="AL533" s="60"/>
      <c r="AM533" s="60"/>
    </row>
    <row r="534" spans="1:39" ht="13.5" customHeight="1" x14ac:dyDescent="0.3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  <c r="AL534" s="60"/>
      <c r="AM534" s="60"/>
    </row>
    <row r="535" spans="1:39" ht="13.5" customHeight="1" x14ac:dyDescent="0.3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  <c r="AL535" s="60"/>
      <c r="AM535" s="60"/>
    </row>
    <row r="536" spans="1:39" ht="13.5" customHeight="1" x14ac:dyDescent="0.3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  <c r="AL536" s="60"/>
      <c r="AM536" s="60"/>
    </row>
    <row r="537" spans="1:39" ht="13.5" customHeight="1" x14ac:dyDescent="0.3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  <c r="AL537" s="60"/>
      <c r="AM537" s="60"/>
    </row>
    <row r="538" spans="1:39" ht="13.5" customHeight="1" x14ac:dyDescent="0.3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  <c r="AL538" s="60"/>
      <c r="AM538" s="60"/>
    </row>
    <row r="539" spans="1:39" ht="13.5" customHeight="1" x14ac:dyDescent="0.3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  <c r="AL539" s="60"/>
      <c r="AM539" s="60"/>
    </row>
    <row r="540" spans="1:39" ht="13.5" customHeight="1" x14ac:dyDescent="0.3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  <c r="AL540" s="60"/>
      <c r="AM540" s="60"/>
    </row>
    <row r="541" spans="1:39" ht="13.5" customHeight="1" x14ac:dyDescent="0.3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  <c r="AL541" s="60"/>
      <c r="AM541" s="60"/>
    </row>
    <row r="542" spans="1:39" ht="13.5" customHeight="1" x14ac:dyDescent="0.3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  <c r="AL542" s="60"/>
      <c r="AM542" s="60"/>
    </row>
    <row r="543" spans="1:39" ht="13.5" customHeight="1" x14ac:dyDescent="0.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  <c r="AL543" s="60"/>
      <c r="AM543" s="60"/>
    </row>
    <row r="544" spans="1:39" ht="13.5" customHeight="1" x14ac:dyDescent="0.3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  <c r="AL544" s="60"/>
      <c r="AM544" s="60"/>
    </row>
    <row r="545" spans="1:39" ht="13.5" customHeight="1" x14ac:dyDescent="0.3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  <c r="AL545" s="60"/>
      <c r="AM545" s="60"/>
    </row>
    <row r="546" spans="1:39" ht="13.5" customHeight="1" x14ac:dyDescent="0.3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  <c r="AL546" s="60"/>
      <c r="AM546" s="60"/>
    </row>
    <row r="547" spans="1:39" ht="13.5" customHeight="1" x14ac:dyDescent="0.3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  <c r="AL547" s="60"/>
      <c r="AM547" s="60"/>
    </row>
    <row r="548" spans="1:39" ht="13.5" customHeight="1" x14ac:dyDescent="0.3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  <c r="AL548" s="60"/>
      <c r="AM548" s="60"/>
    </row>
    <row r="549" spans="1:39" ht="13.5" customHeight="1" x14ac:dyDescent="0.3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  <c r="AL549" s="60"/>
      <c r="AM549" s="60"/>
    </row>
    <row r="550" spans="1:39" ht="13.5" customHeight="1" x14ac:dyDescent="0.3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  <c r="AL550" s="60"/>
      <c r="AM550" s="60"/>
    </row>
    <row r="551" spans="1:39" ht="13.5" customHeight="1" x14ac:dyDescent="0.3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  <c r="AL551" s="60"/>
      <c r="AM551" s="60"/>
    </row>
    <row r="552" spans="1:39" ht="13.5" customHeight="1" x14ac:dyDescent="0.3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  <c r="AL552" s="60"/>
      <c r="AM552" s="60"/>
    </row>
    <row r="553" spans="1:39" ht="13.5" customHeight="1" x14ac:dyDescent="0.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  <c r="AL553" s="60"/>
      <c r="AM553" s="60"/>
    </row>
    <row r="554" spans="1:39" ht="13.5" customHeight="1" x14ac:dyDescent="0.3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  <c r="AL554" s="60"/>
      <c r="AM554" s="60"/>
    </row>
    <row r="555" spans="1:39" ht="13.5" customHeight="1" x14ac:dyDescent="0.3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  <c r="AL555" s="60"/>
      <c r="AM555" s="60"/>
    </row>
    <row r="556" spans="1:39" ht="13.5" customHeight="1" x14ac:dyDescent="0.3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  <c r="AL556" s="60"/>
      <c r="AM556" s="60"/>
    </row>
    <row r="557" spans="1:39" ht="13.5" customHeight="1" x14ac:dyDescent="0.3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  <c r="AL557" s="60"/>
      <c r="AM557" s="60"/>
    </row>
    <row r="558" spans="1:39" ht="13.5" customHeight="1" x14ac:dyDescent="0.3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  <c r="AL558" s="60"/>
      <c r="AM558" s="60"/>
    </row>
    <row r="559" spans="1:39" ht="13.5" customHeight="1" x14ac:dyDescent="0.3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</row>
    <row r="560" spans="1:39" ht="13.5" customHeight="1" x14ac:dyDescent="0.3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  <c r="AL560" s="60"/>
      <c r="AM560" s="60"/>
    </row>
    <row r="561" spans="1:39" ht="13.5" customHeight="1" x14ac:dyDescent="0.3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  <c r="AL561" s="60"/>
      <c r="AM561" s="60"/>
    </row>
    <row r="562" spans="1:39" ht="13.5" customHeight="1" x14ac:dyDescent="0.3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  <c r="AL562" s="60"/>
      <c r="AM562" s="60"/>
    </row>
    <row r="563" spans="1:39" ht="13.5" customHeight="1" x14ac:dyDescent="0.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  <c r="AL563" s="60"/>
      <c r="AM563" s="60"/>
    </row>
    <row r="564" spans="1:39" ht="13.5" customHeight="1" x14ac:dyDescent="0.3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  <c r="AL564" s="60"/>
      <c r="AM564" s="60"/>
    </row>
    <row r="565" spans="1:39" ht="13.5" customHeight="1" x14ac:dyDescent="0.3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  <c r="AL565" s="60"/>
      <c r="AM565" s="60"/>
    </row>
    <row r="566" spans="1:39" ht="13.5" customHeight="1" x14ac:dyDescent="0.3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  <c r="AL566" s="60"/>
      <c r="AM566" s="60"/>
    </row>
    <row r="567" spans="1:39" ht="13.5" customHeight="1" x14ac:dyDescent="0.3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  <c r="AL567" s="60"/>
      <c r="AM567" s="60"/>
    </row>
    <row r="568" spans="1:39" ht="13.5" customHeight="1" x14ac:dyDescent="0.3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  <c r="AL568" s="60"/>
      <c r="AM568" s="60"/>
    </row>
    <row r="569" spans="1:39" ht="13.5" customHeight="1" x14ac:dyDescent="0.3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  <c r="AL569" s="60"/>
      <c r="AM569" s="60"/>
    </row>
    <row r="570" spans="1:39" ht="13.5" customHeight="1" x14ac:dyDescent="0.3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  <c r="AL570" s="60"/>
      <c r="AM570" s="60"/>
    </row>
    <row r="571" spans="1:39" ht="13.5" customHeight="1" x14ac:dyDescent="0.3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  <c r="AL571" s="60"/>
      <c r="AM571" s="60"/>
    </row>
    <row r="572" spans="1:39" ht="13.5" customHeight="1" x14ac:dyDescent="0.3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  <c r="AL572" s="60"/>
      <c r="AM572" s="60"/>
    </row>
    <row r="573" spans="1:39" ht="13.5" customHeight="1" x14ac:dyDescent="0.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  <c r="AL573" s="60"/>
      <c r="AM573" s="60"/>
    </row>
    <row r="574" spans="1:39" ht="13.5" customHeight="1" x14ac:dyDescent="0.3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</row>
    <row r="575" spans="1:39" ht="13.5" customHeight="1" x14ac:dyDescent="0.3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  <c r="AL575" s="60"/>
      <c r="AM575" s="60"/>
    </row>
    <row r="576" spans="1:39" ht="13.5" customHeight="1" x14ac:dyDescent="0.3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  <c r="AL576" s="60"/>
      <c r="AM576" s="60"/>
    </row>
    <row r="577" spans="1:39" ht="13.5" customHeight="1" x14ac:dyDescent="0.3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</row>
    <row r="578" spans="1:39" ht="13.5" customHeight="1" x14ac:dyDescent="0.3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  <c r="AL578" s="60"/>
      <c r="AM578" s="60"/>
    </row>
    <row r="579" spans="1:39" ht="13.5" customHeight="1" x14ac:dyDescent="0.3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  <c r="AL579" s="60"/>
      <c r="AM579" s="60"/>
    </row>
    <row r="580" spans="1:39" ht="13.5" customHeight="1" x14ac:dyDescent="0.3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  <c r="AL580" s="60"/>
      <c r="AM580" s="60"/>
    </row>
    <row r="581" spans="1:39" ht="13.5" customHeight="1" x14ac:dyDescent="0.3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  <c r="AL581" s="60"/>
      <c r="AM581" s="60"/>
    </row>
    <row r="582" spans="1:39" ht="13.5" customHeight="1" x14ac:dyDescent="0.3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  <c r="AL582" s="60"/>
      <c r="AM582" s="60"/>
    </row>
    <row r="583" spans="1:39" ht="13.5" customHeight="1" x14ac:dyDescent="0.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  <c r="AL583" s="60"/>
      <c r="AM583" s="60"/>
    </row>
    <row r="584" spans="1:39" ht="13.5" customHeight="1" x14ac:dyDescent="0.3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  <c r="AL584" s="60"/>
      <c r="AM584" s="60"/>
    </row>
    <row r="585" spans="1:39" ht="13.5" customHeight="1" x14ac:dyDescent="0.3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  <c r="AL585" s="60"/>
      <c r="AM585" s="60"/>
    </row>
    <row r="586" spans="1:39" ht="13.5" customHeight="1" x14ac:dyDescent="0.3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  <c r="AL586" s="60"/>
      <c r="AM586" s="60"/>
    </row>
    <row r="587" spans="1:39" ht="13.5" customHeight="1" x14ac:dyDescent="0.3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  <c r="AL587" s="60"/>
      <c r="AM587" s="60"/>
    </row>
    <row r="588" spans="1:39" ht="13.5" customHeight="1" x14ac:dyDescent="0.3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  <c r="AL588" s="60"/>
      <c r="AM588" s="60"/>
    </row>
    <row r="589" spans="1:39" ht="13.5" customHeight="1" x14ac:dyDescent="0.3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  <c r="AL589" s="60"/>
      <c r="AM589" s="60"/>
    </row>
    <row r="590" spans="1:39" ht="13.5" customHeight="1" x14ac:dyDescent="0.3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  <c r="AL590" s="60"/>
      <c r="AM590" s="60"/>
    </row>
    <row r="591" spans="1:39" ht="13.5" customHeight="1" x14ac:dyDescent="0.3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  <c r="AL591" s="60"/>
      <c r="AM591" s="60"/>
    </row>
    <row r="592" spans="1:39" ht="13.5" customHeight="1" x14ac:dyDescent="0.3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  <c r="AL592" s="60"/>
      <c r="AM592" s="60"/>
    </row>
    <row r="593" spans="1:39" ht="13.5" customHeight="1" x14ac:dyDescent="0.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  <c r="AL593" s="60"/>
      <c r="AM593" s="60"/>
    </row>
    <row r="594" spans="1:39" ht="13.5" customHeight="1" x14ac:dyDescent="0.3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  <c r="AL594" s="60"/>
      <c r="AM594" s="60"/>
    </row>
    <row r="595" spans="1:39" ht="13.5" customHeight="1" x14ac:dyDescent="0.3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</row>
    <row r="596" spans="1:39" ht="13.5" customHeight="1" x14ac:dyDescent="0.3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  <c r="AL596" s="60"/>
      <c r="AM596" s="60"/>
    </row>
    <row r="597" spans="1:39" ht="13.5" customHeight="1" x14ac:dyDescent="0.3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  <c r="AL597" s="60"/>
      <c r="AM597" s="60"/>
    </row>
    <row r="598" spans="1:39" ht="13.5" customHeight="1" x14ac:dyDescent="0.3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  <c r="AL598" s="60"/>
      <c r="AM598" s="60"/>
    </row>
    <row r="599" spans="1:39" ht="13.5" customHeight="1" x14ac:dyDescent="0.3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  <c r="AL599" s="60"/>
      <c r="AM599" s="60"/>
    </row>
    <row r="600" spans="1:39" ht="13.5" customHeight="1" x14ac:dyDescent="0.3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  <c r="AL600" s="60"/>
      <c r="AM600" s="60"/>
    </row>
    <row r="601" spans="1:39" ht="13.5" customHeight="1" x14ac:dyDescent="0.3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  <c r="AL601" s="60"/>
      <c r="AM601" s="60"/>
    </row>
    <row r="602" spans="1:39" ht="13.5" customHeight="1" x14ac:dyDescent="0.3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  <c r="AL602" s="60"/>
      <c r="AM602" s="60"/>
    </row>
    <row r="603" spans="1:39" ht="13.5" customHeight="1" x14ac:dyDescent="0.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  <c r="AL603" s="60"/>
      <c r="AM603" s="60"/>
    </row>
    <row r="604" spans="1:39" ht="13.5" customHeight="1" x14ac:dyDescent="0.3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  <c r="AL604" s="60"/>
      <c r="AM604" s="60"/>
    </row>
    <row r="605" spans="1:39" ht="13.5" customHeight="1" x14ac:dyDescent="0.3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  <c r="AL605" s="60"/>
      <c r="AM605" s="60"/>
    </row>
    <row r="606" spans="1:39" ht="13.5" customHeight="1" x14ac:dyDescent="0.3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  <c r="AL606" s="60"/>
      <c r="AM606" s="60"/>
    </row>
    <row r="607" spans="1:39" ht="13.5" customHeight="1" x14ac:dyDescent="0.3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  <c r="AL607" s="60"/>
      <c r="AM607" s="60"/>
    </row>
    <row r="608" spans="1:39" ht="13.5" customHeight="1" x14ac:dyDescent="0.3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  <c r="AL608" s="60"/>
      <c r="AM608" s="60"/>
    </row>
    <row r="609" spans="1:39" ht="13.5" customHeight="1" x14ac:dyDescent="0.3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  <c r="AL609" s="60"/>
      <c r="AM609" s="60"/>
    </row>
    <row r="610" spans="1:39" ht="13.5" customHeight="1" x14ac:dyDescent="0.3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  <c r="AL610" s="60"/>
      <c r="AM610" s="60"/>
    </row>
    <row r="611" spans="1:39" ht="13.5" customHeight="1" x14ac:dyDescent="0.3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  <c r="AL611" s="60"/>
      <c r="AM611" s="60"/>
    </row>
    <row r="612" spans="1:39" ht="13.5" customHeight="1" x14ac:dyDescent="0.3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  <c r="AL612" s="60"/>
      <c r="AM612" s="60"/>
    </row>
    <row r="613" spans="1:39" ht="13.5" customHeight="1" x14ac:dyDescent="0.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  <c r="AL613" s="60"/>
      <c r="AM613" s="60"/>
    </row>
    <row r="614" spans="1:39" ht="13.5" customHeight="1" x14ac:dyDescent="0.3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  <c r="AL614" s="60"/>
      <c r="AM614" s="60"/>
    </row>
    <row r="615" spans="1:39" ht="13.5" customHeight="1" x14ac:dyDescent="0.3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  <c r="AL615" s="60"/>
      <c r="AM615" s="60"/>
    </row>
    <row r="616" spans="1:39" ht="13.5" customHeight="1" x14ac:dyDescent="0.3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  <c r="AL616" s="60"/>
      <c r="AM616" s="60"/>
    </row>
    <row r="617" spans="1:39" ht="13.5" customHeight="1" x14ac:dyDescent="0.3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  <c r="AL617" s="60"/>
      <c r="AM617" s="60"/>
    </row>
    <row r="618" spans="1:39" ht="13.5" customHeight="1" x14ac:dyDescent="0.3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  <c r="AL618" s="60"/>
      <c r="AM618" s="60"/>
    </row>
    <row r="619" spans="1:39" ht="13.5" customHeight="1" x14ac:dyDescent="0.3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  <c r="AL619" s="60"/>
      <c r="AM619" s="60"/>
    </row>
    <row r="620" spans="1:39" ht="13.5" customHeight="1" x14ac:dyDescent="0.3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  <c r="AL620" s="60"/>
      <c r="AM620" s="60"/>
    </row>
    <row r="621" spans="1:39" ht="13.5" customHeight="1" x14ac:dyDescent="0.3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  <c r="AL621" s="60"/>
      <c r="AM621" s="60"/>
    </row>
    <row r="622" spans="1:39" ht="13.5" customHeight="1" x14ac:dyDescent="0.3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  <c r="AL622" s="60"/>
      <c r="AM622" s="60"/>
    </row>
    <row r="623" spans="1:39" ht="13.5" customHeight="1" x14ac:dyDescent="0.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  <c r="AL623" s="60"/>
      <c r="AM623" s="60"/>
    </row>
    <row r="624" spans="1:39" ht="13.5" customHeight="1" x14ac:dyDescent="0.3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  <c r="AL624" s="60"/>
      <c r="AM624" s="60"/>
    </row>
    <row r="625" spans="1:39" ht="13.5" customHeight="1" x14ac:dyDescent="0.3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  <c r="AL625" s="60"/>
      <c r="AM625" s="60"/>
    </row>
    <row r="626" spans="1:39" ht="13.5" customHeight="1" x14ac:dyDescent="0.3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  <c r="AL626" s="60"/>
      <c r="AM626" s="60"/>
    </row>
    <row r="627" spans="1:39" ht="13.5" customHeight="1" x14ac:dyDescent="0.3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  <c r="AL627" s="60"/>
      <c r="AM627" s="60"/>
    </row>
    <row r="628" spans="1:39" ht="13.5" customHeight="1" x14ac:dyDescent="0.3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  <c r="AL628" s="60"/>
      <c r="AM628" s="60"/>
    </row>
    <row r="629" spans="1:39" ht="13.5" customHeight="1" x14ac:dyDescent="0.3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  <c r="AL629" s="60"/>
      <c r="AM629" s="60"/>
    </row>
    <row r="630" spans="1:39" ht="13.5" customHeight="1" x14ac:dyDescent="0.3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  <c r="AL630" s="60"/>
      <c r="AM630" s="60"/>
    </row>
    <row r="631" spans="1:39" ht="13.5" customHeight="1" x14ac:dyDescent="0.3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  <c r="AL631" s="60"/>
      <c r="AM631" s="60"/>
    </row>
    <row r="632" spans="1:39" ht="13.5" customHeight="1" x14ac:dyDescent="0.3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  <c r="AL632" s="60"/>
      <c r="AM632" s="60"/>
    </row>
    <row r="633" spans="1:39" ht="13.5" customHeight="1" x14ac:dyDescent="0.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  <c r="AL633" s="60"/>
      <c r="AM633" s="60"/>
    </row>
    <row r="634" spans="1:39" ht="13.5" customHeight="1" x14ac:dyDescent="0.3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  <c r="AL634" s="60"/>
      <c r="AM634" s="60"/>
    </row>
    <row r="635" spans="1:39" ht="13.5" customHeight="1" x14ac:dyDescent="0.3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  <c r="AL635" s="60"/>
      <c r="AM635" s="60"/>
    </row>
    <row r="636" spans="1:39" ht="13.5" customHeight="1" x14ac:dyDescent="0.3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  <c r="AL636" s="60"/>
      <c r="AM636" s="60"/>
    </row>
    <row r="637" spans="1:39" ht="13.5" customHeight="1" x14ac:dyDescent="0.3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  <c r="AL637" s="60"/>
      <c r="AM637" s="60"/>
    </row>
    <row r="638" spans="1:39" ht="13.5" customHeight="1" x14ac:dyDescent="0.3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  <c r="AL638" s="60"/>
      <c r="AM638" s="60"/>
    </row>
    <row r="639" spans="1:39" ht="13.5" customHeight="1" x14ac:dyDescent="0.3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  <c r="AL639" s="60"/>
      <c r="AM639" s="60"/>
    </row>
    <row r="640" spans="1:39" ht="13.5" customHeight="1" x14ac:dyDescent="0.3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  <c r="AL640" s="60"/>
      <c r="AM640" s="60"/>
    </row>
    <row r="641" spans="1:39" ht="13.5" customHeight="1" x14ac:dyDescent="0.3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  <c r="AL641" s="60"/>
      <c r="AM641" s="60"/>
    </row>
    <row r="642" spans="1:39" ht="13.5" customHeight="1" x14ac:dyDescent="0.3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  <c r="AL642" s="60"/>
      <c r="AM642" s="60"/>
    </row>
    <row r="643" spans="1:39" ht="13.5" customHeight="1" x14ac:dyDescent="0.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  <c r="AL643" s="60"/>
      <c r="AM643" s="60"/>
    </row>
    <row r="644" spans="1:39" ht="13.5" customHeight="1" x14ac:dyDescent="0.3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  <c r="AL644" s="60"/>
      <c r="AM644" s="60"/>
    </row>
    <row r="645" spans="1:39" ht="13.5" customHeight="1" x14ac:dyDescent="0.3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  <c r="AL645" s="60"/>
      <c r="AM645" s="60"/>
    </row>
    <row r="646" spans="1:39" ht="13.5" customHeight="1" x14ac:dyDescent="0.3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  <c r="AL646" s="60"/>
      <c r="AM646" s="60"/>
    </row>
    <row r="647" spans="1:39" ht="13.5" customHeight="1" x14ac:dyDescent="0.3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  <c r="AL647" s="60"/>
      <c r="AM647" s="60"/>
    </row>
    <row r="648" spans="1:39" ht="13.5" customHeight="1" x14ac:dyDescent="0.3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  <c r="AL648" s="60"/>
      <c r="AM648" s="60"/>
    </row>
    <row r="649" spans="1:39" ht="13.5" customHeight="1" x14ac:dyDescent="0.3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</row>
    <row r="650" spans="1:39" ht="13.5" customHeight="1" x14ac:dyDescent="0.3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  <c r="AL650" s="60"/>
      <c r="AM650" s="60"/>
    </row>
    <row r="651" spans="1:39" ht="13.5" customHeight="1" x14ac:dyDescent="0.3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  <c r="AL651" s="60"/>
      <c r="AM651" s="60"/>
    </row>
    <row r="652" spans="1:39" ht="13.5" customHeight="1" x14ac:dyDescent="0.3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  <c r="AL652" s="60"/>
      <c r="AM652" s="60"/>
    </row>
    <row r="653" spans="1:39" ht="13.5" customHeight="1" x14ac:dyDescent="0.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  <c r="AL653" s="60"/>
      <c r="AM653" s="60"/>
    </row>
    <row r="654" spans="1:39" ht="13.5" customHeight="1" x14ac:dyDescent="0.3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  <c r="AL654" s="60"/>
      <c r="AM654" s="60"/>
    </row>
    <row r="655" spans="1:39" ht="13.5" customHeight="1" x14ac:dyDescent="0.3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  <c r="AL655" s="60"/>
      <c r="AM655" s="60"/>
    </row>
    <row r="656" spans="1:39" ht="13.5" customHeight="1" x14ac:dyDescent="0.3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  <c r="AL656" s="60"/>
      <c r="AM656" s="60"/>
    </row>
    <row r="657" spans="1:39" ht="13.5" customHeight="1" x14ac:dyDescent="0.3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  <c r="AL657" s="60"/>
      <c r="AM657" s="60"/>
    </row>
    <row r="658" spans="1:39" ht="13.5" customHeight="1" x14ac:dyDescent="0.3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  <c r="AL658" s="60"/>
      <c r="AM658" s="60"/>
    </row>
    <row r="659" spans="1:39" ht="13.5" customHeight="1" x14ac:dyDescent="0.3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  <c r="AL659" s="60"/>
      <c r="AM659" s="60"/>
    </row>
    <row r="660" spans="1:39" ht="13.5" customHeight="1" x14ac:dyDescent="0.3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  <c r="AL660" s="60"/>
      <c r="AM660" s="60"/>
    </row>
    <row r="661" spans="1:39" ht="13.5" customHeight="1" x14ac:dyDescent="0.3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  <c r="AL661" s="60"/>
      <c r="AM661" s="60"/>
    </row>
    <row r="662" spans="1:39" ht="13.5" customHeight="1" x14ac:dyDescent="0.3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  <c r="AL662" s="60"/>
      <c r="AM662" s="60"/>
    </row>
    <row r="663" spans="1:39" ht="13.5" customHeight="1" x14ac:dyDescent="0.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  <c r="AL663" s="60"/>
      <c r="AM663" s="60"/>
    </row>
    <row r="664" spans="1:39" ht="13.5" customHeight="1" x14ac:dyDescent="0.3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  <c r="AL664" s="60"/>
      <c r="AM664" s="60"/>
    </row>
    <row r="665" spans="1:39" ht="13.5" customHeight="1" x14ac:dyDescent="0.3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  <c r="AL665" s="60"/>
      <c r="AM665" s="60"/>
    </row>
    <row r="666" spans="1:39" ht="13.5" customHeight="1" x14ac:dyDescent="0.3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  <c r="AL666" s="60"/>
      <c r="AM666" s="60"/>
    </row>
    <row r="667" spans="1:39" ht="13.5" customHeight="1" x14ac:dyDescent="0.3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</row>
    <row r="668" spans="1:39" ht="13.5" customHeight="1" x14ac:dyDescent="0.3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  <c r="AL668" s="60"/>
      <c r="AM668" s="60"/>
    </row>
    <row r="669" spans="1:39" ht="13.5" customHeight="1" x14ac:dyDescent="0.3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  <c r="AL669" s="60"/>
      <c r="AM669" s="60"/>
    </row>
    <row r="670" spans="1:39" ht="13.5" customHeight="1" x14ac:dyDescent="0.3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  <c r="AL670" s="60"/>
      <c r="AM670" s="60"/>
    </row>
    <row r="671" spans="1:39" ht="13.5" customHeight="1" x14ac:dyDescent="0.3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  <c r="AL671" s="60"/>
      <c r="AM671" s="60"/>
    </row>
    <row r="672" spans="1:39" ht="13.5" customHeight="1" x14ac:dyDescent="0.3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  <c r="AL672" s="60"/>
      <c r="AM672" s="60"/>
    </row>
    <row r="673" spans="1:39" ht="13.5" customHeight="1" x14ac:dyDescent="0.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  <c r="AL673" s="60"/>
      <c r="AM673" s="60"/>
    </row>
    <row r="674" spans="1:39" ht="13.5" customHeight="1" x14ac:dyDescent="0.3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  <c r="AL674" s="60"/>
      <c r="AM674" s="60"/>
    </row>
    <row r="675" spans="1:39" ht="13.5" customHeight="1" x14ac:dyDescent="0.3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  <c r="AL675" s="60"/>
      <c r="AM675" s="60"/>
    </row>
    <row r="676" spans="1:39" ht="13.5" customHeight="1" x14ac:dyDescent="0.3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  <c r="AL676" s="60"/>
      <c r="AM676" s="60"/>
    </row>
    <row r="677" spans="1:39" ht="13.5" customHeight="1" x14ac:dyDescent="0.3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  <c r="AL677" s="60"/>
      <c r="AM677" s="60"/>
    </row>
    <row r="678" spans="1:39" ht="13.5" customHeight="1" x14ac:dyDescent="0.3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  <c r="AL678" s="60"/>
      <c r="AM678" s="60"/>
    </row>
    <row r="679" spans="1:39" ht="13.5" customHeight="1" x14ac:dyDescent="0.3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  <c r="AL679" s="60"/>
      <c r="AM679" s="60"/>
    </row>
    <row r="680" spans="1:39" ht="13.5" customHeight="1" x14ac:dyDescent="0.3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  <c r="AL680" s="60"/>
      <c r="AM680" s="60"/>
    </row>
    <row r="681" spans="1:39" ht="13.5" customHeight="1" x14ac:dyDescent="0.3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  <c r="AL681" s="60"/>
      <c r="AM681" s="60"/>
    </row>
    <row r="682" spans="1:39" ht="13.5" customHeight="1" x14ac:dyDescent="0.3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  <c r="AL682" s="60"/>
      <c r="AM682" s="60"/>
    </row>
    <row r="683" spans="1:39" ht="13.5" customHeight="1" x14ac:dyDescent="0.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  <c r="AL683" s="60"/>
      <c r="AM683" s="60"/>
    </row>
    <row r="684" spans="1:39" ht="13.5" customHeight="1" x14ac:dyDescent="0.3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  <c r="AL684" s="60"/>
      <c r="AM684" s="60"/>
    </row>
    <row r="685" spans="1:39" ht="13.5" customHeight="1" x14ac:dyDescent="0.3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  <c r="AL685" s="60"/>
      <c r="AM685" s="60"/>
    </row>
    <row r="686" spans="1:39" ht="13.5" customHeight="1" x14ac:dyDescent="0.3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  <c r="AL686" s="60"/>
      <c r="AM686" s="60"/>
    </row>
    <row r="687" spans="1:39" ht="13.5" customHeight="1" x14ac:dyDescent="0.3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  <c r="AL687" s="60"/>
      <c r="AM687" s="60"/>
    </row>
    <row r="688" spans="1:39" ht="13.5" customHeight="1" x14ac:dyDescent="0.3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  <c r="AL688" s="60"/>
      <c r="AM688" s="60"/>
    </row>
    <row r="689" spans="1:39" ht="13.5" customHeight="1" x14ac:dyDescent="0.3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  <c r="AL689" s="60"/>
      <c r="AM689" s="60"/>
    </row>
    <row r="690" spans="1:39" ht="13.5" customHeight="1" x14ac:dyDescent="0.3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  <c r="AL690" s="60"/>
      <c r="AM690" s="60"/>
    </row>
    <row r="691" spans="1:39" ht="13.5" customHeight="1" x14ac:dyDescent="0.3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  <c r="AL691" s="60"/>
      <c r="AM691" s="60"/>
    </row>
    <row r="692" spans="1:39" ht="13.5" customHeight="1" x14ac:dyDescent="0.3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  <c r="AL692" s="60"/>
      <c r="AM692" s="60"/>
    </row>
    <row r="693" spans="1:39" ht="13.5" customHeight="1" x14ac:dyDescent="0.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  <c r="AL693" s="60"/>
      <c r="AM693" s="60"/>
    </row>
    <row r="694" spans="1:39" ht="13.5" customHeight="1" x14ac:dyDescent="0.3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  <c r="AL694" s="60"/>
      <c r="AM694" s="60"/>
    </row>
    <row r="695" spans="1:39" ht="13.5" customHeight="1" x14ac:dyDescent="0.3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  <c r="AL695" s="60"/>
      <c r="AM695" s="60"/>
    </row>
    <row r="696" spans="1:39" ht="13.5" customHeight="1" x14ac:dyDescent="0.3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  <c r="AL696" s="60"/>
      <c r="AM696" s="60"/>
    </row>
    <row r="697" spans="1:39" ht="13.5" customHeight="1" x14ac:dyDescent="0.3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  <c r="AL697" s="60"/>
      <c r="AM697" s="60"/>
    </row>
    <row r="698" spans="1:39" ht="13.5" customHeight="1" x14ac:dyDescent="0.3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  <c r="AL698" s="60"/>
      <c r="AM698" s="60"/>
    </row>
    <row r="699" spans="1:39" ht="13.5" customHeight="1" x14ac:dyDescent="0.3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  <c r="AL699" s="60"/>
      <c r="AM699" s="60"/>
    </row>
    <row r="700" spans="1:39" ht="13.5" customHeight="1" x14ac:dyDescent="0.3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  <c r="AL700" s="60"/>
      <c r="AM700" s="60"/>
    </row>
    <row r="701" spans="1:39" ht="13.5" customHeight="1" x14ac:dyDescent="0.3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  <c r="AL701" s="60"/>
      <c r="AM701" s="60"/>
    </row>
    <row r="702" spans="1:39" ht="13.5" customHeight="1" x14ac:dyDescent="0.3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  <c r="AL702" s="60"/>
      <c r="AM702" s="60"/>
    </row>
    <row r="703" spans="1:39" ht="13.5" customHeight="1" x14ac:dyDescent="0.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  <c r="AL703" s="60"/>
      <c r="AM703" s="60"/>
    </row>
    <row r="704" spans="1:39" ht="13.5" customHeight="1" x14ac:dyDescent="0.3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  <c r="AL704" s="60"/>
      <c r="AM704" s="60"/>
    </row>
    <row r="705" spans="1:39" ht="13.5" customHeight="1" x14ac:dyDescent="0.3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  <c r="AL705" s="60"/>
      <c r="AM705" s="60"/>
    </row>
    <row r="706" spans="1:39" ht="13.5" customHeight="1" x14ac:dyDescent="0.3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  <c r="AL706" s="60"/>
      <c r="AM706" s="60"/>
    </row>
    <row r="707" spans="1:39" ht="13.5" customHeight="1" x14ac:dyDescent="0.3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  <c r="AL707" s="60"/>
      <c r="AM707" s="60"/>
    </row>
    <row r="708" spans="1:39" ht="13.5" customHeight="1" x14ac:dyDescent="0.3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  <c r="AL708" s="60"/>
      <c r="AM708" s="60"/>
    </row>
    <row r="709" spans="1:39" ht="13.5" customHeight="1" x14ac:dyDescent="0.3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  <c r="AL709" s="60"/>
      <c r="AM709" s="60"/>
    </row>
    <row r="710" spans="1:39" ht="13.5" customHeight="1" x14ac:dyDescent="0.3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  <c r="AL710" s="60"/>
      <c r="AM710" s="60"/>
    </row>
    <row r="711" spans="1:39" ht="13.5" customHeight="1" x14ac:dyDescent="0.3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  <c r="AL711" s="60"/>
      <c r="AM711" s="60"/>
    </row>
    <row r="712" spans="1:39" ht="13.5" customHeight="1" x14ac:dyDescent="0.3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  <c r="AL712" s="60"/>
      <c r="AM712" s="60"/>
    </row>
    <row r="713" spans="1:39" ht="13.5" customHeight="1" x14ac:dyDescent="0.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  <c r="AL713" s="60"/>
      <c r="AM713" s="60"/>
    </row>
    <row r="714" spans="1:39" ht="13.5" customHeight="1" x14ac:dyDescent="0.3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  <c r="AL714" s="60"/>
      <c r="AM714" s="60"/>
    </row>
    <row r="715" spans="1:39" ht="13.5" customHeight="1" x14ac:dyDescent="0.3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  <c r="AL715" s="60"/>
      <c r="AM715" s="60"/>
    </row>
    <row r="716" spans="1:39" ht="13.5" customHeight="1" x14ac:dyDescent="0.3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  <c r="AL716" s="60"/>
      <c r="AM716" s="60"/>
    </row>
    <row r="717" spans="1:39" ht="13.5" customHeight="1" x14ac:dyDescent="0.3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  <c r="AL717" s="60"/>
      <c r="AM717" s="60"/>
    </row>
    <row r="718" spans="1:39" ht="13.5" customHeight="1" x14ac:dyDescent="0.3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  <c r="AL718" s="60"/>
      <c r="AM718" s="60"/>
    </row>
    <row r="719" spans="1:39" ht="13.5" customHeight="1" x14ac:dyDescent="0.3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  <c r="AL719" s="60"/>
      <c r="AM719" s="60"/>
    </row>
    <row r="720" spans="1:39" ht="13.5" customHeight="1" x14ac:dyDescent="0.3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  <c r="AL720" s="60"/>
      <c r="AM720" s="60"/>
    </row>
    <row r="721" spans="1:39" ht="13.5" customHeight="1" x14ac:dyDescent="0.3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  <c r="AL721" s="60"/>
      <c r="AM721" s="60"/>
    </row>
    <row r="722" spans="1:39" ht="13.5" customHeight="1" x14ac:dyDescent="0.3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  <c r="AL722" s="60"/>
      <c r="AM722" s="60"/>
    </row>
    <row r="723" spans="1:39" ht="13.5" customHeight="1" x14ac:dyDescent="0.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  <c r="AL723" s="60"/>
      <c r="AM723" s="60"/>
    </row>
    <row r="724" spans="1:39" ht="13.5" customHeight="1" x14ac:dyDescent="0.3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  <c r="AL724" s="60"/>
      <c r="AM724" s="60"/>
    </row>
    <row r="725" spans="1:39" ht="13.5" customHeight="1" x14ac:dyDescent="0.3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  <c r="AL725" s="60"/>
      <c r="AM725" s="60"/>
    </row>
    <row r="726" spans="1:39" ht="13.5" customHeight="1" x14ac:dyDescent="0.3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  <c r="AL726" s="60"/>
      <c r="AM726" s="60"/>
    </row>
    <row r="727" spans="1:39" ht="13.5" customHeight="1" x14ac:dyDescent="0.3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  <c r="AL727" s="60"/>
      <c r="AM727" s="60"/>
    </row>
    <row r="728" spans="1:39" ht="13.5" customHeight="1" x14ac:dyDescent="0.3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  <c r="AL728" s="60"/>
      <c r="AM728" s="60"/>
    </row>
    <row r="729" spans="1:39" ht="13.5" customHeight="1" x14ac:dyDescent="0.3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  <c r="AL729" s="60"/>
      <c r="AM729" s="60"/>
    </row>
    <row r="730" spans="1:39" ht="13.5" customHeight="1" x14ac:dyDescent="0.3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  <c r="AL730" s="60"/>
      <c r="AM730" s="60"/>
    </row>
    <row r="731" spans="1:39" ht="13.5" customHeight="1" x14ac:dyDescent="0.3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  <c r="AL731" s="60"/>
      <c r="AM731" s="60"/>
    </row>
    <row r="732" spans="1:39" ht="13.5" customHeight="1" x14ac:dyDescent="0.3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  <c r="AL732" s="60"/>
      <c r="AM732" s="60"/>
    </row>
    <row r="733" spans="1:39" ht="13.5" customHeight="1" x14ac:dyDescent="0.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  <c r="AL733" s="60"/>
      <c r="AM733" s="60"/>
    </row>
    <row r="734" spans="1:39" ht="13.5" customHeight="1" x14ac:dyDescent="0.3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  <c r="AL734" s="60"/>
      <c r="AM734" s="60"/>
    </row>
    <row r="735" spans="1:39" ht="13.5" customHeight="1" x14ac:dyDescent="0.3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  <c r="AL735" s="60"/>
      <c r="AM735" s="60"/>
    </row>
    <row r="736" spans="1:39" ht="13.5" customHeight="1" x14ac:dyDescent="0.3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  <c r="AL736" s="60"/>
      <c r="AM736" s="60"/>
    </row>
    <row r="737" spans="1:39" ht="13.5" customHeight="1" x14ac:dyDescent="0.3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  <c r="AL737" s="60"/>
      <c r="AM737" s="60"/>
    </row>
    <row r="738" spans="1:39" ht="13.5" customHeight="1" x14ac:dyDescent="0.3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  <c r="AL738" s="60"/>
      <c r="AM738" s="60"/>
    </row>
    <row r="739" spans="1:39" ht="13.5" customHeight="1" x14ac:dyDescent="0.3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  <c r="AL739" s="60"/>
      <c r="AM739" s="60"/>
    </row>
    <row r="740" spans="1:39" ht="13.5" customHeight="1" x14ac:dyDescent="0.3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  <c r="AL740" s="60"/>
      <c r="AM740" s="60"/>
    </row>
    <row r="741" spans="1:39" ht="13.5" customHeight="1" x14ac:dyDescent="0.3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  <c r="AL741" s="60"/>
      <c r="AM741" s="60"/>
    </row>
    <row r="742" spans="1:39" ht="13.5" customHeight="1" x14ac:dyDescent="0.3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  <c r="AJ742" s="60"/>
      <c r="AK742" s="60"/>
      <c r="AL742" s="60"/>
      <c r="AM742" s="60"/>
    </row>
    <row r="743" spans="1:39" ht="13.5" customHeight="1" x14ac:dyDescent="0.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  <c r="AJ743" s="60"/>
      <c r="AK743" s="60"/>
      <c r="AL743" s="60"/>
      <c r="AM743" s="60"/>
    </row>
    <row r="744" spans="1:39" ht="13.5" customHeight="1" x14ac:dyDescent="0.3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  <c r="AJ744" s="60"/>
      <c r="AK744" s="60"/>
      <c r="AL744" s="60"/>
      <c r="AM744" s="60"/>
    </row>
    <row r="745" spans="1:39" ht="13.5" customHeight="1" x14ac:dyDescent="0.3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  <c r="AJ745" s="60"/>
      <c r="AK745" s="60"/>
      <c r="AL745" s="60"/>
      <c r="AM745" s="60"/>
    </row>
    <row r="746" spans="1:39" ht="13.5" customHeight="1" x14ac:dyDescent="0.3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  <c r="AJ746" s="60"/>
      <c r="AK746" s="60"/>
      <c r="AL746" s="60"/>
      <c r="AM746" s="60"/>
    </row>
    <row r="747" spans="1:39" ht="13.5" customHeight="1" x14ac:dyDescent="0.3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  <c r="AJ747" s="60"/>
      <c r="AK747" s="60"/>
      <c r="AL747" s="60"/>
      <c r="AM747" s="60"/>
    </row>
    <row r="748" spans="1:39" ht="13.5" customHeight="1" x14ac:dyDescent="0.3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  <c r="AK748" s="60"/>
      <c r="AL748" s="60"/>
      <c r="AM748" s="60"/>
    </row>
    <row r="749" spans="1:39" ht="13.5" customHeight="1" x14ac:dyDescent="0.3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  <c r="AJ749" s="60"/>
      <c r="AK749" s="60"/>
      <c r="AL749" s="60"/>
      <c r="AM749" s="60"/>
    </row>
    <row r="750" spans="1:39" ht="13.5" customHeight="1" x14ac:dyDescent="0.3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  <c r="AJ750" s="60"/>
      <c r="AK750" s="60"/>
      <c r="AL750" s="60"/>
      <c r="AM750" s="60"/>
    </row>
    <row r="751" spans="1:39" ht="13.5" customHeight="1" x14ac:dyDescent="0.3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  <c r="AJ751" s="60"/>
      <c r="AK751" s="60"/>
      <c r="AL751" s="60"/>
      <c r="AM751" s="60"/>
    </row>
    <row r="752" spans="1:39" ht="13.5" customHeight="1" x14ac:dyDescent="0.3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  <c r="AL752" s="60"/>
      <c r="AM752" s="60"/>
    </row>
    <row r="753" spans="1:39" ht="13.5" customHeight="1" x14ac:dyDescent="0.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  <c r="AJ753" s="60"/>
      <c r="AK753" s="60"/>
      <c r="AL753" s="60"/>
      <c r="AM753" s="60"/>
    </row>
    <row r="754" spans="1:39" ht="13.5" customHeight="1" x14ac:dyDescent="0.3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  <c r="AJ754" s="60"/>
      <c r="AK754" s="60"/>
      <c r="AL754" s="60"/>
      <c r="AM754" s="60"/>
    </row>
    <row r="755" spans="1:39" ht="13.5" customHeight="1" x14ac:dyDescent="0.3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  <c r="AJ755" s="60"/>
      <c r="AK755" s="60"/>
      <c r="AL755" s="60"/>
      <c r="AM755" s="60"/>
    </row>
    <row r="756" spans="1:39" ht="13.5" customHeight="1" x14ac:dyDescent="0.3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  <c r="AJ756" s="60"/>
      <c r="AK756" s="60"/>
      <c r="AL756" s="60"/>
      <c r="AM756" s="60"/>
    </row>
    <row r="757" spans="1:39" ht="13.5" customHeight="1" x14ac:dyDescent="0.3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  <c r="AK757" s="60"/>
      <c r="AL757" s="60"/>
      <c r="AM757" s="60"/>
    </row>
    <row r="758" spans="1:39" ht="13.5" customHeight="1" x14ac:dyDescent="0.3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  <c r="AJ758" s="60"/>
      <c r="AK758" s="60"/>
      <c r="AL758" s="60"/>
      <c r="AM758" s="60"/>
    </row>
    <row r="759" spans="1:39" ht="13.5" customHeight="1" x14ac:dyDescent="0.3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  <c r="AJ759" s="60"/>
      <c r="AK759" s="60"/>
      <c r="AL759" s="60"/>
      <c r="AM759" s="60"/>
    </row>
    <row r="760" spans="1:39" ht="13.5" customHeight="1" x14ac:dyDescent="0.3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  <c r="AK760" s="60"/>
      <c r="AL760" s="60"/>
      <c r="AM760" s="60"/>
    </row>
    <row r="761" spans="1:39" ht="13.5" customHeight="1" x14ac:dyDescent="0.3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  <c r="AK761" s="60"/>
      <c r="AL761" s="60"/>
      <c r="AM761" s="60"/>
    </row>
    <row r="762" spans="1:39" ht="13.5" customHeight="1" x14ac:dyDescent="0.3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  <c r="AJ762" s="60"/>
      <c r="AK762" s="60"/>
      <c r="AL762" s="60"/>
      <c r="AM762" s="60"/>
    </row>
    <row r="763" spans="1:39" ht="13.5" customHeight="1" x14ac:dyDescent="0.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  <c r="AJ763" s="60"/>
      <c r="AK763" s="60"/>
      <c r="AL763" s="60"/>
      <c r="AM763" s="60"/>
    </row>
    <row r="764" spans="1:39" ht="13.5" customHeight="1" x14ac:dyDescent="0.3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  <c r="AJ764" s="60"/>
      <c r="AK764" s="60"/>
      <c r="AL764" s="60"/>
      <c r="AM764" s="60"/>
    </row>
    <row r="765" spans="1:39" ht="13.5" customHeight="1" x14ac:dyDescent="0.3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  <c r="AK765" s="60"/>
      <c r="AL765" s="60"/>
      <c r="AM765" s="60"/>
    </row>
    <row r="766" spans="1:39" ht="13.5" customHeight="1" x14ac:dyDescent="0.3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  <c r="AJ766" s="60"/>
      <c r="AK766" s="60"/>
      <c r="AL766" s="60"/>
      <c r="AM766" s="60"/>
    </row>
    <row r="767" spans="1:39" ht="13.5" customHeight="1" x14ac:dyDescent="0.3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  <c r="AJ767" s="60"/>
      <c r="AK767" s="60"/>
      <c r="AL767" s="60"/>
      <c r="AM767" s="60"/>
    </row>
    <row r="768" spans="1:39" ht="13.5" customHeight="1" x14ac:dyDescent="0.3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  <c r="AJ768" s="60"/>
      <c r="AK768" s="60"/>
      <c r="AL768" s="60"/>
      <c r="AM768" s="60"/>
    </row>
    <row r="769" spans="1:39" ht="13.5" customHeight="1" x14ac:dyDescent="0.3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  <c r="AJ769" s="60"/>
      <c r="AK769" s="60"/>
      <c r="AL769" s="60"/>
      <c r="AM769" s="60"/>
    </row>
    <row r="770" spans="1:39" ht="13.5" customHeight="1" x14ac:dyDescent="0.3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  <c r="AJ770" s="60"/>
      <c r="AK770" s="60"/>
      <c r="AL770" s="60"/>
      <c r="AM770" s="60"/>
    </row>
    <row r="771" spans="1:39" ht="13.5" customHeight="1" x14ac:dyDescent="0.3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  <c r="AJ771" s="60"/>
      <c r="AK771" s="60"/>
      <c r="AL771" s="60"/>
      <c r="AM771" s="60"/>
    </row>
    <row r="772" spans="1:39" ht="13.5" customHeight="1" x14ac:dyDescent="0.3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  <c r="AL772" s="60"/>
      <c r="AM772" s="60"/>
    </row>
    <row r="773" spans="1:39" ht="13.5" customHeight="1" x14ac:dyDescent="0.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  <c r="AK773" s="60"/>
      <c r="AL773" s="60"/>
      <c r="AM773" s="60"/>
    </row>
    <row r="774" spans="1:39" ht="13.5" customHeight="1" x14ac:dyDescent="0.3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  <c r="AJ774" s="60"/>
      <c r="AK774" s="60"/>
      <c r="AL774" s="60"/>
      <c r="AM774" s="60"/>
    </row>
    <row r="775" spans="1:39" ht="13.5" customHeight="1" x14ac:dyDescent="0.3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  <c r="AJ775" s="60"/>
      <c r="AK775" s="60"/>
      <c r="AL775" s="60"/>
      <c r="AM775" s="60"/>
    </row>
    <row r="776" spans="1:39" ht="13.5" customHeight="1" x14ac:dyDescent="0.3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  <c r="AJ776" s="60"/>
      <c r="AK776" s="60"/>
      <c r="AL776" s="60"/>
      <c r="AM776" s="60"/>
    </row>
    <row r="777" spans="1:39" ht="13.5" customHeight="1" x14ac:dyDescent="0.3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  <c r="AJ777" s="60"/>
      <c r="AK777" s="60"/>
      <c r="AL777" s="60"/>
      <c r="AM777" s="60"/>
    </row>
    <row r="778" spans="1:39" ht="13.5" customHeight="1" x14ac:dyDescent="0.3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  <c r="AL778" s="60"/>
      <c r="AM778" s="60"/>
    </row>
    <row r="779" spans="1:39" ht="13.5" customHeight="1" x14ac:dyDescent="0.3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  <c r="AL779" s="60"/>
      <c r="AM779" s="60"/>
    </row>
    <row r="780" spans="1:39" ht="13.5" customHeight="1" x14ac:dyDescent="0.3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  <c r="AJ780" s="60"/>
      <c r="AK780" s="60"/>
      <c r="AL780" s="60"/>
      <c r="AM780" s="60"/>
    </row>
    <row r="781" spans="1:39" ht="13.5" customHeight="1" x14ac:dyDescent="0.3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  <c r="AK781" s="60"/>
      <c r="AL781" s="60"/>
      <c r="AM781" s="60"/>
    </row>
    <row r="782" spans="1:39" ht="13.5" customHeight="1" x14ac:dyDescent="0.3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  <c r="AJ782" s="60"/>
      <c r="AK782" s="60"/>
      <c r="AL782" s="60"/>
      <c r="AM782" s="60"/>
    </row>
    <row r="783" spans="1:39" ht="13.5" customHeight="1" x14ac:dyDescent="0.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  <c r="AJ783" s="60"/>
      <c r="AK783" s="60"/>
      <c r="AL783" s="60"/>
      <c r="AM783" s="60"/>
    </row>
    <row r="784" spans="1:39" ht="13.5" customHeight="1" x14ac:dyDescent="0.3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  <c r="AL784" s="60"/>
      <c r="AM784" s="60"/>
    </row>
    <row r="785" spans="1:39" ht="13.5" customHeight="1" x14ac:dyDescent="0.3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  <c r="AL785" s="60"/>
      <c r="AM785" s="60"/>
    </row>
    <row r="786" spans="1:39" ht="13.5" customHeight="1" x14ac:dyDescent="0.3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  <c r="AL786" s="60"/>
      <c r="AM786" s="60"/>
    </row>
    <row r="787" spans="1:39" ht="13.5" customHeight="1" x14ac:dyDescent="0.3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  <c r="AL787" s="60"/>
      <c r="AM787" s="60"/>
    </row>
    <row r="788" spans="1:39" ht="13.5" customHeight="1" x14ac:dyDescent="0.3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  <c r="AL788" s="60"/>
      <c r="AM788" s="60"/>
    </row>
    <row r="789" spans="1:39" ht="13.5" customHeight="1" x14ac:dyDescent="0.3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  <c r="AL789" s="60"/>
      <c r="AM789" s="60"/>
    </row>
    <row r="790" spans="1:39" ht="13.5" customHeight="1" x14ac:dyDescent="0.3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  <c r="AL790" s="60"/>
      <c r="AM790" s="60"/>
    </row>
    <row r="791" spans="1:39" ht="13.5" customHeight="1" x14ac:dyDescent="0.3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  <c r="AL791" s="60"/>
      <c r="AM791" s="60"/>
    </row>
    <row r="792" spans="1:39" ht="13.5" customHeight="1" x14ac:dyDescent="0.3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  <c r="AL792" s="60"/>
      <c r="AM792" s="60"/>
    </row>
    <row r="793" spans="1:39" ht="13.5" customHeight="1" x14ac:dyDescent="0.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  <c r="AL793" s="60"/>
      <c r="AM793" s="60"/>
    </row>
    <row r="794" spans="1:39" ht="13.5" customHeight="1" x14ac:dyDescent="0.3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  <c r="AL794" s="60"/>
      <c r="AM794" s="60"/>
    </row>
    <row r="795" spans="1:39" ht="13.5" customHeight="1" x14ac:dyDescent="0.3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  <c r="AL795" s="60"/>
      <c r="AM795" s="60"/>
    </row>
    <row r="796" spans="1:39" ht="13.5" customHeight="1" x14ac:dyDescent="0.3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  <c r="AJ796" s="60"/>
      <c r="AK796" s="60"/>
      <c r="AL796" s="60"/>
      <c r="AM796" s="60"/>
    </row>
    <row r="797" spans="1:39" ht="13.5" customHeight="1" x14ac:dyDescent="0.3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  <c r="AK797" s="60"/>
      <c r="AL797" s="60"/>
      <c r="AM797" s="60"/>
    </row>
    <row r="798" spans="1:39" ht="13.5" customHeight="1" x14ac:dyDescent="0.3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  <c r="AJ798" s="60"/>
      <c r="AK798" s="60"/>
      <c r="AL798" s="60"/>
      <c r="AM798" s="60"/>
    </row>
    <row r="799" spans="1:39" ht="13.5" customHeight="1" x14ac:dyDescent="0.3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  <c r="AK799" s="60"/>
      <c r="AL799" s="60"/>
      <c r="AM799" s="60"/>
    </row>
    <row r="800" spans="1:39" ht="13.5" customHeight="1" x14ac:dyDescent="0.3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  <c r="AL800" s="60"/>
      <c r="AM800" s="60"/>
    </row>
    <row r="801" spans="1:39" ht="13.5" customHeight="1" x14ac:dyDescent="0.3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  <c r="AL801" s="60"/>
      <c r="AM801" s="60"/>
    </row>
    <row r="802" spans="1:39" ht="13.5" customHeight="1" x14ac:dyDescent="0.3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  <c r="AL802" s="60"/>
      <c r="AM802" s="60"/>
    </row>
    <row r="803" spans="1:39" ht="13.5" customHeight="1" x14ac:dyDescent="0.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  <c r="AL803" s="60"/>
      <c r="AM803" s="60"/>
    </row>
    <row r="804" spans="1:39" ht="13.5" customHeight="1" x14ac:dyDescent="0.3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  <c r="AL804" s="60"/>
      <c r="AM804" s="60"/>
    </row>
    <row r="805" spans="1:39" ht="13.5" customHeight="1" x14ac:dyDescent="0.3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  <c r="AL805" s="60"/>
      <c r="AM805" s="60"/>
    </row>
    <row r="806" spans="1:39" ht="13.5" customHeight="1" x14ac:dyDescent="0.3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  <c r="AL806" s="60"/>
      <c r="AM806" s="60"/>
    </row>
    <row r="807" spans="1:39" ht="13.5" customHeight="1" x14ac:dyDescent="0.3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  <c r="AL807" s="60"/>
      <c r="AM807" s="60"/>
    </row>
    <row r="808" spans="1:39" ht="13.5" customHeight="1" x14ac:dyDescent="0.3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  <c r="AL808" s="60"/>
      <c r="AM808" s="60"/>
    </row>
    <row r="809" spans="1:39" ht="13.5" customHeight="1" x14ac:dyDescent="0.3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  <c r="AL809" s="60"/>
      <c r="AM809" s="60"/>
    </row>
    <row r="810" spans="1:39" ht="13.5" customHeight="1" x14ac:dyDescent="0.3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  <c r="AL810" s="60"/>
      <c r="AM810" s="60"/>
    </row>
    <row r="811" spans="1:39" ht="13.5" customHeight="1" x14ac:dyDescent="0.3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  <c r="AL811" s="60"/>
      <c r="AM811" s="60"/>
    </row>
    <row r="812" spans="1:39" ht="13.5" customHeight="1" x14ac:dyDescent="0.3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  <c r="AL812" s="60"/>
      <c r="AM812" s="60"/>
    </row>
    <row r="813" spans="1:39" ht="13.5" customHeight="1" x14ac:dyDescent="0.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  <c r="AL813" s="60"/>
      <c r="AM813" s="60"/>
    </row>
    <row r="814" spans="1:39" ht="13.5" customHeight="1" x14ac:dyDescent="0.3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  <c r="AL814" s="60"/>
      <c r="AM814" s="60"/>
    </row>
    <row r="815" spans="1:39" ht="13.5" customHeight="1" x14ac:dyDescent="0.3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  <c r="AL815" s="60"/>
      <c r="AM815" s="60"/>
    </row>
    <row r="816" spans="1:39" ht="13.5" customHeight="1" x14ac:dyDescent="0.3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  <c r="AJ816" s="60"/>
      <c r="AK816" s="60"/>
      <c r="AL816" s="60"/>
      <c r="AM816" s="60"/>
    </row>
    <row r="817" spans="1:39" ht="13.5" customHeight="1" x14ac:dyDescent="0.3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  <c r="AK817" s="60"/>
      <c r="AL817" s="60"/>
      <c r="AM817" s="60"/>
    </row>
    <row r="818" spans="1:39" ht="13.5" customHeight="1" x14ac:dyDescent="0.3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  <c r="AJ818" s="60"/>
      <c r="AK818" s="60"/>
      <c r="AL818" s="60"/>
      <c r="AM818" s="60"/>
    </row>
    <row r="819" spans="1:39" ht="13.5" customHeight="1" x14ac:dyDescent="0.3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  <c r="AK819" s="60"/>
      <c r="AL819" s="60"/>
      <c r="AM819" s="60"/>
    </row>
    <row r="820" spans="1:39" ht="13.5" customHeight="1" x14ac:dyDescent="0.3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  <c r="AL820" s="60"/>
      <c r="AM820" s="60"/>
    </row>
    <row r="821" spans="1:39" ht="13.5" customHeight="1" x14ac:dyDescent="0.3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  <c r="AL821" s="60"/>
      <c r="AM821" s="60"/>
    </row>
    <row r="822" spans="1:39" ht="13.5" customHeight="1" x14ac:dyDescent="0.3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  <c r="AL822" s="60"/>
      <c r="AM822" s="60"/>
    </row>
    <row r="823" spans="1:39" ht="13.5" customHeight="1" x14ac:dyDescent="0.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  <c r="AL823" s="60"/>
      <c r="AM823" s="60"/>
    </row>
    <row r="824" spans="1:39" ht="13.5" customHeight="1" x14ac:dyDescent="0.3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  <c r="AL824" s="60"/>
      <c r="AM824" s="60"/>
    </row>
    <row r="825" spans="1:39" ht="13.5" customHeight="1" x14ac:dyDescent="0.3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  <c r="AL825" s="60"/>
      <c r="AM825" s="60"/>
    </row>
    <row r="826" spans="1:39" ht="13.5" customHeight="1" x14ac:dyDescent="0.3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  <c r="AL826" s="60"/>
      <c r="AM826" s="60"/>
    </row>
    <row r="827" spans="1:39" ht="13.5" customHeight="1" x14ac:dyDescent="0.3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  <c r="AL827" s="60"/>
      <c r="AM827" s="60"/>
    </row>
    <row r="828" spans="1:39" ht="13.5" customHeight="1" x14ac:dyDescent="0.3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  <c r="AL828" s="60"/>
      <c r="AM828" s="60"/>
    </row>
    <row r="829" spans="1:39" ht="13.5" customHeight="1" x14ac:dyDescent="0.3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  <c r="AL829" s="60"/>
      <c r="AM829" s="60"/>
    </row>
    <row r="830" spans="1:39" ht="13.5" customHeight="1" x14ac:dyDescent="0.3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  <c r="AL830" s="60"/>
      <c r="AM830" s="60"/>
    </row>
    <row r="831" spans="1:39" ht="13.5" customHeight="1" x14ac:dyDescent="0.3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  <c r="AL831" s="60"/>
      <c r="AM831" s="60"/>
    </row>
    <row r="832" spans="1:39" ht="13.5" customHeight="1" x14ac:dyDescent="0.3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  <c r="AJ832" s="60"/>
      <c r="AK832" s="60"/>
      <c r="AL832" s="60"/>
      <c r="AM832" s="60"/>
    </row>
    <row r="833" spans="1:39" ht="13.5" customHeight="1" x14ac:dyDescent="0.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  <c r="AK833" s="60"/>
      <c r="AL833" s="60"/>
      <c r="AM833" s="60"/>
    </row>
    <row r="834" spans="1:39" ht="13.5" customHeight="1" x14ac:dyDescent="0.3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  <c r="AJ834" s="60"/>
      <c r="AK834" s="60"/>
      <c r="AL834" s="60"/>
      <c r="AM834" s="60"/>
    </row>
    <row r="835" spans="1:39" ht="13.5" customHeight="1" x14ac:dyDescent="0.3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  <c r="AK835" s="60"/>
      <c r="AL835" s="60"/>
      <c r="AM835" s="60"/>
    </row>
    <row r="836" spans="1:39" ht="13.5" customHeight="1" x14ac:dyDescent="0.3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  <c r="AL836" s="60"/>
      <c r="AM836" s="60"/>
    </row>
    <row r="837" spans="1:39" ht="13.5" customHeight="1" x14ac:dyDescent="0.3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  <c r="AL837" s="60"/>
      <c r="AM837" s="60"/>
    </row>
    <row r="838" spans="1:39" ht="13.5" customHeight="1" x14ac:dyDescent="0.3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  <c r="AL838" s="60"/>
      <c r="AM838" s="60"/>
    </row>
    <row r="839" spans="1:39" ht="13.5" customHeight="1" x14ac:dyDescent="0.3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  <c r="AL839" s="60"/>
      <c r="AM839" s="60"/>
    </row>
    <row r="840" spans="1:39" ht="13.5" customHeight="1" x14ac:dyDescent="0.3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  <c r="AL840" s="60"/>
      <c r="AM840" s="60"/>
    </row>
    <row r="841" spans="1:39" ht="13.5" customHeight="1" x14ac:dyDescent="0.3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  <c r="AL841" s="60"/>
      <c r="AM841" s="60"/>
    </row>
    <row r="842" spans="1:39" ht="13.5" customHeight="1" x14ac:dyDescent="0.3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  <c r="AL842" s="60"/>
      <c r="AM842" s="60"/>
    </row>
    <row r="843" spans="1:39" ht="13.5" customHeight="1" x14ac:dyDescent="0.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  <c r="AL843" s="60"/>
      <c r="AM843" s="60"/>
    </row>
    <row r="844" spans="1:39" ht="13.5" customHeight="1" x14ac:dyDescent="0.3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  <c r="AL844" s="60"/>
      <c r="AM844" s="60"/>
    </row>
    <row r="845" spans="1:39" ht="13.5" customHeight="1" x14ac:dyDescent="0.3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  <c r="AL845" s="60"/>
      <c r="AM845" s="60"/>
    </row>
    <row r="846" spans="1:39" ht="13.5" customHeight="1" x14ac:dyDescent="0.3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  <c r="AL846" s="60"/>
      <c r="AM846" s="60"/>
    </row>
    <row r="847" spans="1:39" ht="13.5" customHeight="1" x14ac:dyDescent="0.3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  <c r="AL847" s="60"/>
      <c r="AM847" s="60"/>
    </row>
    <row r="848" spans="1:39" ht="13.5" customHeight="1" x14ac:dyDescent="0.3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  <c r="AL848" s="60"/>
      <c r="AM848" s="60"/>
    </row>
    <row r="849" spans="1:39" ht="13.5" customHeight="1" x14ac:dyDescent="0.3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  <c r="AL849" s="60"/>
      <c r="AM849" s="60"/>
    </row>
    <row r="850" spans="1:39" ht="13.5" customHeight="1" x14ac:dyDescent="0.3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  <c r="AL850" s="60"/>
      <c r="AM850" s="60"/>
    </row>
    <row r="851" spans="1:39" ht="13.5" customHeight="1" x14ac:dyDescent="0.3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  <c r="AL851" s="60"/>
      <c r="AM851" s="60"/>
    </row>
    <row r="852" spans="1:39" ht="13.5" customHeight="1" x14ac:dyDescent="0.3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  <c r="AL852" s="60"/>
      <c r="AM852" s="60"/>
    </row>
    <row r="853" spans="1:39" ht="13.5" customHeight="1" x14ac:dyDescent="0.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  <c r="AL853" s="60"/>
      <c r="AM853" s="60"/>
    </row>
    <row r="854" spans="1:39" ht="13.5" customHeight="1" x14ac:dyDescent="0.3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  <c r="AL854" s="60"/>
      <c r="AM854" s="60"/>
    </row>
    <row r="855" spans="1:39" ht="13.5" customHeight="1" x14ac:dyDescent="0.3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  <c r="AL855" s="60"/>
      <c r="AM855" s="60"/>
    </row>
    <row r="856" spans="1:39" ht="13.5" customHeight="1" x14ac:dyDescent="0.3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  <c r="AL856" s="60"/>
      <c r="AM856" s="60"/>
    </row>
    <row r="857" spans="1:39" ht="13.5" customHeight="1" x14ac:dyDescent="0.3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  <c r="AL857" s="60"/>
      <c r="AM857" s="60"/>
    </row>
    <row r="858" spans="1:39" ht="13.5" customHeight="1" x14ac:dyDescent="0.3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  <c r="AL858" s="60"/>
      <c r="AM858" s="60"/>
    </row>
    <row r="859" spans="1:39" ht="13.5" customHeight="1" x14ac:dyDescent="0.3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  <c r="AL859" s="60"/>
      <c r="AM859" s="60"/>
    </row>
    <row r="860" spans="1:39" ht="13.5" customHeight="1" x14ac:dyDescent="0.3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  <c r="AL860" s="60"/>
      <c r="AM860" s="60"/>
    </row>
    <row r="861" spans="1:39" ht="13.5" customHeight="1" x14ac:dyDescent="0.3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  <c r="AL861" s="60"/>
      <c r="AM861" s="60"/>
    </row>
    <row r="862" spans="1:39" ht="13.5" customHeight="1" x14ac:dyDescent="0.3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  <c r="AL862" s="60"/>
      <c r="AM862" s="60"/>
    </row>
    <row r="863" spans="1:39" ht="13.5" customHeight="1" x14ac:dyDescent="0.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  <c r="AL863" s="60"/>
      <c r="AM863" s="60"/>
    </row>
    <row r="864" spans="1:39" ht="13.5" customHeight="1" x14ac:dyDescent="0.3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  <c r="AL864" s="60"/>
      <c r="AM864" s="60"/>
    </row>
    <row r="865" spans="1:39" ht="13.5" customHeight="1" x14ac:dyDescent="0.3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  <c r="AL865" s="60"/>
      <c r="AM865" s="60"/>
    </row>
    <row r="866" spans="1:39" ht="13.5" customHeight="1" x14ac:dyDescent="0.3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  <c r="AL866" s="60"/>
      <c r="AM866" s="60"/>
    </row>
    <row r="867" spans="1:39" ht="13.5" customHeight="1" x14ac:dyDescent="0.3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  <c r="AL867" s="60"/>
      <c r="AM867" s="60"/>
    </row>
    <row r="868" spans="1:39" ht="13.5" customHeight="1" x14ac:dyDescent="0.3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  <c r="AL868" s="60"/>
      <c r="AM868" s="60"/>
    </row>
    <row r="869" spans="1:39" ht="13.5" customHeight="1" x14ac:dyDescent="0.3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  <c r="AL869" s="60"/>
      <c r="AM869" s="60"/>
    </row>
    <row r="870" spans="1:39" ht="13.5" customHeight="1" x14ac:dyDescent="0.3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  <c r="AL870" s="60"/>
      <c r="AM870" s="60"/>
    </row>
    <row r="871" spans="1:39" ht="13.5" customHeight="1" x14ac:dyDescent="0.3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  <c r="AL871" s="60"/>
      <c r="AM871" s="60"/>
    </row>
    <row r="872" spans="1:39" ht="13.5" customHeight="1" x14ac:dyDescent="0.3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  <c r="AL872" s="60"/>
      <c r="AM872" s="60"/>
    </row>
    <row r="873" spans="1:39" ht="13.5" customHeight="1" x14ac:dyDescent="0.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  <c r="AL873" s="60"/>
      <c r="AM873" s="60"/>
    </row>
    <row r="874" spans="1:39" ht="13.5" customHeight="1" x14ac:dyDescent="0.3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  <c r="AL874" s="60"/>
      <c r="AM874" s="60"/>
    </row>
    <row r="875" spans="1:39" ht="13.5" customHeight="1" x14ac:dyDescent="0.3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  <c r="AL875" s="60"/>
      <c r="AM875" s="60"/>
    </row>
    <row r="876" spans="1:39" ht="13.5" customHeight="1" x14ac:dyDescent="0.3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  <c r="AL876" s="60"/>
      <c r="AM876" s="60"/>
    </row>
    <row r="877" spans="1:39" ht="13.5" customHeight="1" x14ac:dyDescent="0.3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  <c r="AL877" s="60"/>
      <c r="AM877" s="60"/>
    </row>
    <row r="878" spans="1:39" ht="13.5" customHeight="1" x14ac:dyDescent="0.3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  <c r="AL878" s="60"/>
      <c r="AM878" s="60"/>
    </row>
    <row r="879" spans="1:39" ht="13.5" customHeight="1" x14ac:dyDescent="0.3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  <c r="AL879" s="60"/>
      <c r="AM879" s="60"/>
    </row>
    <row r="880" spans="1:39" ht="13.5" customHeight="1" x14ac:dyDescent="0.3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  <c r="AL880" s="60"/>
      <c r="AM880" s="60"/>
    </row>
    <row r="881" spans="1:39" ht="13.5" customHeight="1" x14ac:dyDescent="0.3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  <c r="AL881" s="60"/>
      <c r="AM881" s="60"/>
    </row>
    <row r="882" spans="1:39" ht="13.5" customHeight="1" x14ac:dyDescent="0.3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  <c r="AL882" s="60"/>
      <c r="AM882" s="60"/>
    </row>
    <row r="883" spans="1:39" ht="13.5" customHeight="1" x14ac:dyDescent="0.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  <c r="AL883" s="60"/>
      <c r="AM883" s="60"/>
    </row>
    <row r="884" spans="1:39" ht="13.5" customHeight="1" x14ac:dyDescent="0.3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  <c r="AL884" s="60"/>
      <c r="AM884" s="60"/>
    </row>
    <row r="885" spans="1:39" ht="13.5" customHeight="1" x14ac:dyDescent="0.3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  <c r="AL885" s="60"/>
      <c r="AM885" s="60"/>
    </row>
    <row r="886" spans="1:39" ht="13.5" customHeight="1" x14ac:dyDescent="0.3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  <c r="AL886" s="60"/>
      <c r="AM886" s="60"/>
    </row>
    <row r="887" spans="1:39" ht="13.5" customHeight="1" x14ac:dyDescent="0.3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  <c r="AL887" s="60"/>
      <c r="AM887" s="60"/>
    </row>
    <row r="888" spans="1:39" ht="13.5" customHeight="1" x14ac:dyDescent="0.3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  <c r="AL888" s="60"/>
      <c r="AM888" s="60"/>
    </row>
    <row r="889" spans="1:39" ht="13.5" customHeight="1" x14ac:dyDescent="0.3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  <c r="AL889" s="60"/>
      <c r="AM889" s="60"/>
    </row>
    <row r="890" spans="1:39" ht="13.5" customHeight="1" x14ac:dyDescent="0.3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  <c r="AL890" s="60"/>
      <c r="AM890" s="60"/>
    </row>
    <row r="891" spans="1:39" ht="13.5" customHeight="1" x14ac:dyDescent="0.3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  <c r="AL891" s="60"/>
      <c r="AM891" s="60"/>
    </row>
    <row r="892" spans="1:39" ht="13.5" customHeight="1" x14ac:dyDescent="0.3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  <c r="AL892" s="60"/>
      <c r="AM892" s="60"/>
    </row>
    <row r="893" spans="1:39" ht="13.5" customHeight="1" x14ac:dyDescent="0.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  <c r="AL893" s="60"/>
      <c r="AM893" s="60"/>
    </row>
    <row r="894" spans="1:39" ht="13.5" customHeight="1" x14ac:dyDescent="0.3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  <c r="AL894" s="60"/>
      <c r="AM894" s="60"/>
    </row>
    <row r="895" spans="1:39" ht="13.5" customHeight="1" x14ac:dyDescent="0.3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  <c r="AL895" s="60"/>
      <c r="AM895" s="60"/>
    </row>
    <row r="896" spans="1:39" ht="13.5" customHeight="1" x14ac:dyDescent="0.3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  <c r="AL896" s="60"/>
      <c r="AM896" s="60"/>
    </row>
    <row r="897" spans="1:39" ht="13.5" customHeight="1" x14ac:dyDescent="0.3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  <c r="AL897" s="60"/>
      <c r="AM897" s="60"/>
    </row>
    <row r="898" spans="1:39" ht="13.5" customHeight="1" x14ac:dyDescent="0.3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  <c r="AL898" s="60"/>
      <c r="AM898" s="60"/>
    </row>
    <row r="899" spans="1:39" ht="13.5" customHeight="1" x14ac:dyDescent="0.3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  <c r="AL899" s="60"/>
      <c r="AM899" s="60"/>
    </row>
    <row r="900" spans="1:39" ht="13.5" customHeight="1" x14ac:dyDescent="0.3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  <c r="AL900" s="60"/>
      <c r="AM900" s="60"/>
    </row>
    <row r="901" spans="1:39" ht="13.5" customHeight="1" x14ac:dyDescent="0.3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  <c r="AL901" s="60"/>
      <c r="AM901" s="60"/>
    </row>
    <row r="902" spans="1:39" ht="13.5" customHeight="1" x14ac:dyDescent="0.3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  <c r="AL902" s="60"/>
      <c r="AM902" s="60"/>
    </row>
    <row r="903" spans="1:39" ht="13.5" customHeight="1" x14ac:dyDescent="0.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  <c r="AL903" s="60"/>
      <c r="AM903" s="60"/>
    </row>
    <row r="904" spans="1:39" ht="13.5" customHeight="1" x14ac:dyDescent="0.3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  <c r="AL904" s="60"/>
      <c r="AM904" s="60"/>
    </row>
    <row r="905" spans="1:39" ht="13.5" customHeight="1" x14ac:dyDescent="0.3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  <c r="AL905" s="60"/>
      <c r="AM905" s="60"/>
    </row>
    <row r="906" spans="1:39" ht="13.5" customHeight="1" x14ac:dyDescent="0.3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  <c r="AL906" s="60"/>
      <c r="AM906" s="60"/>
    </row>
    <row r="907" spans="1:39" ht="13.5" customHeight="1" x14ac:dyDescent="0.3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  <c r="AL907" s="60"/>
      <c r="AM907" s="60"/>
    </row>
    <row r="908" spans="1:39" ht="13.5" customHeight="1" x14ac:dyDescent="0.3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  <c r="AL908" s="60"/>
      <c r="AM908" s="60"/>
    </row>
    <row r="909" spans="1:39" ht="13.5" customHeight="1" x14ac:dyDescent="0.3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  <c r="AL909" s="60"/>
      <c r="AM909" s="60"/>
    </row>
    <row r="910" spans="1:39" ht="13.5" customHeight="1" x14ac:dyDescent="0.3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  <c r="AL910" s="60"/>
      <c r="AM910" s="60"/>
    </row>
    <row r="911" spans="1:39" ht="13.5" customHeight="1" x14ac:dyDescent="0.3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  <c r="AL911" s="60"/>
      <c r="AM911" s="60"/>
    </row>
    <row r="912" spans="1:39" ht="13.5" customHeight="1" x14ac:dyDescent="0.3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  <c r="AL912" s="60"/>
      <c r="AM912" s="60"/>
    </row>
    <row r="913" spans="1:39" ht="13.5" customHeight="1" x14ac:dyDescent="0.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  <c r="AL913" s="60"/>
      <c r="AM913" s="60"/>
    </row>
    <row r="914" spans="1:39" ht="13.5" customHeight="1" x14ac:dyDescent="0.3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  <c r="AL914" s="60"/>
      <c r="AM914" s="60"/>
    </row>
    <row r="915" spans="1:39" ht="13.5" customHeight="1" x14ac:dyDescent="0.3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  <c r="AL915" s="60"/>
      <c r="AM915" s="60"/>
    </row>
    <row r="916" spans="1:39" ht="13.5" customHeight="1" x14ac:dyDescent="0.3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  <c r="AL916" s="60"/>
      <c r="AM916" s="60"/>
    </row>
    <row r="917" spans="1:39" ht="13.5" customHeight="1" x14ac:dyDescent="0.3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  <c r="AL917" s="60"/>
      <c r="AM917" s="60"/>
    </row>
    <row r="918" spans="1:39" ht="13.5" customHeight="1" x14ac:dyDescent="0.3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  <c r="AL918" s="60"/>
      <c r="AM918" s="60"/>
    </row>
    <row r="919" spans="1:39" ht="13.5" customHeight="1" x14ac:dyDescent="0.3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  <c r="AL919" s="60"/>
      <c r="AM919" s="60"/>
    </row>
    <row r="920" spans="1:39" ht="13.5" customHeight="1" x14ac:dyDescent="0.3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  <c r="AL920" s="60"/>
      <c r="AM920" s="60"/>
    </row>
    <row r="921" spans="1:39" ht="13.5" customHeight="1" x14ac:dyDescent="0.3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  <c r="AL921" s="60"/>
      <c r="AM921" s="60"/>
    </row>
    <row r="922" spans="1:39" ht="13.5" customHeight="1" x14ac:dyDescent="0.3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  <c r="AL922" s="60"/>
      <c r="AM922" s="60"/>
    </row>
    <row r="923" spans="1:39" ht="13.5" customHeight="1" x14ac:dyDescent="0.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  <c r="AL923" s="60"/>
      <c r="AM923" s="60"/>
    </row>
    <row r="924" spans="1:39" ht="13.5" customHeight="1" x14ac:dyDescent="0.3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  <c r="AL924" s="60"/>
      <c r="AM924" s="60"/>
    </row>
    <row r="925" spans="1:39" ht="13.5" customHeight="1" x14ac:dyDescent="0.3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  <c r="AL925" s="60"/>
      <c r="AM925" s="60"/>
    </row>
    <row r="926" spans="1:39" ht="13.5" customHeight="1" x14ac:dyDescent="0.3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  <c r="AL926" s="60"/>
      <c r="AM926" s="60"/>
    </row>
    <row r="927" spans="1:39" ht="13.5" customHeight="1" x14ac:dyDescent="0.3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  <c r="AL927" s="60"/>
      <c r="AM927" s="60"/>
    </row>
    <row r="928" spans="1:39" ht="13.5" customHeight="1" x14ac:dyDescent="0.3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  <c r="AL928" s="60"/>
      <c r="AM928" s="60"/>
    </row>
    <row r="929" spans="1:39" ht="13.5" customHeight="1" x14ac:dyDescent="0.3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  <c r="AL929" s="60"/>
      <c r="AM929" s="60"/>
    </row>
    <row r="930" spans="1:39" ht="13.5" customHeight="1" x14ac:dyDescent="0.3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  <c r="AL930" s="60"/>
      <c r="AM930" s="60"/>
    </row>
    <row r="931" spans="1:39" ht="13.5" customHeight="1" x14ac:dyDescent="0.3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  <c r="AL931" s="60"/>
      <c r="AM931" s="60"/>
    </row>
    <row r="932" spans="1:39" ht="13.5" customHeight="1" x14ac:dyDescent="0.3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  <c r="AL932" s="60"/>
      <c r="AM932" s="60"/>
    </row>
    <row r="933" spans="1:39" ht="13.5" customHeight="1" x14ac:dyDescent="0.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  <c r="AL933" s="60"/>
      <c r="AM933" s="60"/>
    </row>
    <row r="934" spans="1:39" ht="13.5" customHeight="1" x14ac:dyDescent="0.3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  <c r="AL934" s="60"/>
      <c r="AM934" s="60"/>
    </row>
    <row r="935" spans="1:39" ht="13.5" customHeight="1" x14ac:dyDescent="0.3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  <c r="AL935" s="60"/>
      <c r="AM935" s="60"/>
    </row>
    <row r="936" spans="1:39" ht="13.5" customHeight="1" x14ac:dyDescent="0.3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  <c r="AL936" s="60"/>
      <c r="AM936" s="60"/>
    </row>
    <row r="937" spans="1:39" ht="13.5" customHeight="1" x14ac:dyDescent="0.3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  <c r="AL937" s="60"/>
      <c r="AM937" s="60"/>
    </row>
    <row r="938" spans="1:39" ht="13.5" customHeight="1" x14ac:dyDescent="0.3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  <c r="AL938" s="60"/>
      <c r="AM938" s="60"/>
    </row>
    <row r="939" spans="1:39" ht="13.5" customHeight="1" x14ac:dyDescent="0.3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  <c r="AL939" s="60"/>
      <c r="AM939" s="60"/>
    </row>
    <row r="940" spans="1:39" ht="13.5" customHeight="1" x14ac:dyDescent="0.3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  <c r="AL940" s="60"/>
      <c r="AM940" s="60"/>
    </row>
    <row r="941" spans="1:39" ht="13.5" customHeight="1" x14ac:dyDescent="0.3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  <c r="AL941" s="60"/>
      <c r="AM941" s="60"/>
    </row>
    <row r="942" spans="1:39" ht="13.5" customHeight="1" x14ac:dyDescent="0.3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  <c r="AL942" s="60"/>
      <c r="AM942" s="60"/>
    </row>
    <row r="943" spans="1:39" ht="13.5" customHeight="1" x14ac:dyDescent="0.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  <c r="AL943" s="60"/>
      <c r="AM943" s="60"/>
    </row>
    <row r="944" spans="1:39" ht="13.5" customHeight="1" x14ac:dyDescent="0.3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  <c r="AL944" s="60"/>
      <c r="AM944" s="60"/>
    </row>
    <row r="945" spans="1:39" ht="13.5" customHeight="1" x14ac:dyDescent="0.3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  <c r="AL945" s="60"/>
      <c r="AM945" s="60"/>
    </row>
    <row r="946" spans="1:39" ht="13.5" customHeight="1" x14ac:dyDescent="0.3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  <c r="AL946" s="60"/>
      <c r="AM946" s="60"/>
    </row>
    <row r="947" spans="1:39" ht="13.5" customHeight="1" x14ac:dyDescent="0.3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  <c r="AL947" s="60"/>
      <c r="AM947" s="60"/>
    </row>
    <row r="948" spans="1:39" ht="13.5" customHeight="1" x14ac:dyDescent="0.3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  <c r="AL948" s="60"/>
      <c r="AM948" s="60"/>
    </row>
    <row r="949" spans="1:39" ht="13.5" customHeight="1" x14ac:dyDescent="0.3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  <c r="AL949" s="60"/>
      <c r="AM949" s="60"/>
    </row>
    <row r="950" spans="1:39" ht="13.5" customHeight="1" x14ac:dyDescent="0.3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  <c r="AL950" s="60"/>
      <c r="AM950" s="60"/>
    </row>
    <row r="951" spans="1:39" ht="13.5" customHeight="1" x14ac:dyDescent="0.3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  <c r="AL951" s="60"/>
      <c r="AM951" s="60"/>
    </row>
    <row r="952" spans="1:39" ht="13.5" customHeight="1" x14ac:dyDescent="0.3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  <c r="AL952" s="60"/>
      <c r="AM952" s="60"/>
    </row>
    <row r="953" spans="1:39" ht="13.5" customHeight="1" x14ac:dyDescent="0.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  <c r="AL953" s="60"/>
      <c r="AM953" s="60"/>
    </row>
    <row r="954" spans="1:39" ht="13.5" customHeight="1" x14ac:dyDescent="0.3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  <c r="AL954" s="60"/>
      <c r="AM954" s="60"/>
    </row>
    <row r="955" spans="1:39" ht="13.5" customHeight="1" x14ac:dyDescent="0.3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  <c r="AL955" s="60"/>
      <c r="AM955" s="60"/>
    </row>
    <row r="956" spans="1:39" ht="13.5" customHeight="1" x14ac:dyDescent="0.3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  <c r="AL956" s="60"/>
      <c r="AM956" s="60"/>
    </row>
    <row r="957" spans="1:39" ht="13.5" customHeight="1" x14ac:dyDescent="0.3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  <c r="AL957" s="60"/>
      <c r="AM957" s="60"/>
    </row>
    <row r="958" spans="1:39" ht="13.5" customHeight="1" x14ac:dyDescent="0.3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  <c r="AL958" s="60"/>
      <c r="AM958" s="60"/>
    </row>
    <row r="959" spans="1:39" ht="13.5" customHeight="1" x14ac:dyDescent="0.3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  <c r="AL959" s="60"/>
      <c r="AM959" s="60"/>
    </row>
    <row r="960" spans="1:39" ht="13.5" customHeight="1" x14ac:dyDescent="0.3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  <c r="AL960" s="60"/>
      <c r="AM960" s="60"/>
    </row>
    <row r="961" spans="1:39" ht="13.5" customHeight="1" x14ac:dyDescent="0.3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  <c r="AL961" s="60"/>
      <c r="AM961" s="60"/>
    </row>
    <row r="962" spans="1:39" ht="13.5" customHeight="1" x14ac:dyDescent="0.3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  <c r="AL962" s="60"/>
      <c r="AM962" s="60"/>
    </row>
    <row r="963" spans="1:39" ht="13.5" customHeight="1" x14ac:dyDescent="0.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  <c r="AL963" s="60"/>
      <c r="AM963" s="60"/>
    </row>
    <row r="964" spans="1:39" ht="13.5" customHeight="1" x14ac:dyDescent="0.3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  <c r="AL964" s="60"/>
      <c r="AM964" s="60"/>
    </row>
    <row r="965" spans="1:39" ht="13.5" customHeight="1" x14ac:dyDescent="0.3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  <c r="AL965" s="60"/>
      <c r="AM965" s="60"/>
    </row>
    <row r="966" spans="1:39" ht="13.5" customHeight="1" x14ac:dyDescent="0.3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  <c r="AL966" s="60"/>
      <c r="AM966" s="60"/>
    </row>
    <row r="967" spans="1:39" ht="13.5" customHeight="1" x14ac:dyDescent="0.3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  <c r="AL967" s="60"/>
      <c r="AM967" s="60"/>
    </row>
    <row r="968" spans="1:39" ht="13.5" customHeight="1" x14ac:dyDescent="0.3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  <c r="AL968" s="60"/>
      <c r="AM968" s="60"/>
    </row>
    <row r="969" spans="1:39" ht="13.5" customHeight="1" x14ac:dyDescent="0.3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  <c r="AL969" s="60"/>
      <c r="AM969" s="60"/>
    </row>
    <row r="970" spans="1:39" ht="13.5" customHeight="1" x14ac:dyDescent="0.3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  <c r="AL970" s="60"/>
      <c r="AM970" s="60"/>
    </row>
    <row r="971" spans="1:39" ht="13.5" customHeight="1" x14ac:dyDescent="0.3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  <c r="AL971" s="60"/>
      <c r="AM971" s="60"/>
    </row>
    <row r="972" spans="1:39" ht="13.5" customHeight="1" x14ac:dyDescent="0.3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  <c r="AL972" s="60"/>
      <c r="AM972" s="60"/>
    </row>
    <row r="973" spans="1:39" ht="13.5" customHeight="1" x14ac:dyDescent="0.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  <c r="AL973" s="60"/>
      <c r="AM973" s="60"/>
    </row>
    <row r="974" spans="1:39" ht="13.5" customHeight="1" x14ac:dyDescent="0.3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  <c r="AL974" s="60"/>
      <c r="AM974" s="60"/>
    </row>
    <row r="975" spans="1:39" ht="13.5" customHeight="1" x14ac:dyDescent="0.3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  <c r="AL975" s="60"/>
      <c r="AM975" s="60"/>
    </row>
    <row r="976" spans="1:39" ht="13.5" customHeight="1" x14ac:dyDescent="0.3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  <c r="AL976" s="60"/>
      <c r="AM976" s="60"/>
    </row>
    <row r="977" spans="1:39" ht="13.5" customHeight="1" x14ac:dyDescent="0.3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  <c r="AL977" s="60"/>
      <c r="AM977" s="60"/>
    </row>
    <row r="978" spans="1:39" ht="13.5" customHeight="1" x14ac:dyDescent="0.3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  <c r="AL978" s="60"/>
      <c r="AM978" s="60"/>
    </row>
    <row r="979" spans="1:39" ht="13.5" customHeight="1" x14ac:dyDescent="0.3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  <c r="AL979" s="60"/>
      <c r="AM979" s="60"/>
    </row>
    <row r="980" spans="1:39" ht="13.5" customHeight="1" x14ac:dyDescent="0.3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  <c r="AL980" s="60"/>
      <c r="AM980" s="60"/>
    </row>
    <row r="981" spans="1:39" ht="13.5" customHeight="1" x14ac:dyDescent="0.3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  <c r="AL981" s="60"/>
      <c r="AM981" s="60"/>
    </row>
    <row r="982" spans="1:39" ht="13.5" customHeight="1" x14ac:dyDescent="0.3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  <c r="AL982" s="60"/>
      <c r="AM982" s="60"/>
    </row>
    <row r="983" spans="1:39" ht="13.5" customHeight="1" x14ac:dyDescent="0.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  <c r="AL983" s="60"/>
      <c r="AM983" s="60"/>
    </row>
    <row r="984" spans="1:39" ht="13.5" customHeight="1" x14ac:dyDescent="0.3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  <c r="AL984" s="60"/>
      <c r="AM984" s="60"/>
    </row>
    <row r="985" spans="1:39" ht="13.5" customHeight="1" x14ac:dyDescent="0.3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  <c r="AL985" s="60"/>
      <c r="AM985" s="60"/>
    </row>
    <row r="986" spans="1:39" ht="13.5" customHeight="1" x14ac:dyDescent="0.3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  <c r="AL986" s="60"/>
      <c r="AM986" s="60"/>
    </row>
    <row r="987" spans="1:39" ht="13.5" customHeight="1" x14ac:dyDescent="0.3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  <c r="AL987" s="60"/>
      <c r="AM987" s="60"/>
    </row>
    <row r="988" spans="1:39" ht="13.5" customHeight="1" x14ac:dyDescent="0.3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  <c r="AL988" s="60"/>
      <c r="AM988" s="60"/>
    </row>
    <row r="989" spans="1:39" ht="13.5" customHeight="1" x14ac:dyDescent="0.3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  <c r="AL989" s="60"/>
      <c r="AM989" s="60"/>
    </row>
    <row r="990" spans="1:39" ht="13.5" customHeight="1" x14ac:dyDescent="0.3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  <c r="AL990" s="60"/>
      <c r="AM990" s="60"/>
    </row>
    <row r="991" spans="1:39" ht="13.5" customHeight="1" x14ac:dyDescent="0.3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  <c r="AL991" s="60"/>
      <c r="AM991" s="60"/>
    </row>
    <row r="992" spans="1:39" ht="13.5" customHeight="1" x14ac:dyDescent="0.3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  <c r="AL992" s="60"/>
      <c r="AM992" s="60"/>
    </row>
    <row r="993" spans="1:39" ht="13.5" customHeight="1" x14ac:dyDescent="0.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  <c r="AL993" s="60"/>
      <c r="AM993" s="60"/>
    </row>
    <row r="994" spans="1:39" ht="13.5" customHeight="1" x14ac:dyDescent="0.3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  <c r="AL994" s="60"/>
      <c r="AM994" s="60"/>
    </row>
    <row r="995" spans="1:39" ht="13.5" customHeight="1" x14ac:dyDescent="0.3">
      <c r="A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  <c r="AL995" s="60"/>
      <c r="AM995" s="60"/>
    </row>
    <row r="996" spans="1:39" ht="13.5" customHeight="1" x14ac:dyDescent="0.3">
      <c r="A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  <c r="AL996" s="60"/>
      <c r="AM996" s="60"/>
    </row>
    <row r="997" spans="1:39" ht="13.5" customHeight="1" x14ac:dyDescent="0.3">
      <c r="A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  <c r="AL997" s="60"/>
      <c r="AM997" s="60"/>
    </row>
    <row r="998" spans="1:39" ht="13.5" customHeight="1" x14ac:dyDescent="0.3">
      <c r="A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  <c r="AL998" s="60"/>
      <c r="AM998" s="60"/>
    </row>
    <row r="999" spans="1:39" ht="13.5" customHeight="1" x14ac:dyDescent="0.3">
      <c r="A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  <c r="AL999" s="60"/>
      <c r="AM999" s="60"/>
    </row>
    <row r="1000" spans="1:39" ht="13.5" customHeight="1" x14ac:dyDescent="0.3">
      <c r="A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  <c r="AK1000" s="60"/>
      <c r="AL1000" s="60"/>
      <c r="AM1000" s="60"/>
    </row>
  </sheetData>
  <mergeCells count="8">
    <mergeCell ref="Q16:S16"/>
    <mergeCell ref="N16:P16"/>
    <mergeCell ref="K16:M16"/>
    <mergeCell ref="H16:J16"/>
    <mergeCell ref="H2:J2"/>
    <mergeCell ref="K2:M2"/>
    <mergeCell ref="N2:P2"/>
    <mergeCell ref="Q2:S2"/>
  </mergeCells>
  <conditionalFormatting sqref="D4:D13 D20:D30">
    <cfRule type="containsText" dxfId="50" priority="18" operator="containsText" text="Approved">
      <formula>NOT(ISERROR(SEARCH(("Approved"),(D4))))</formula>
    </cfRule>
    <cfRule type="containsText" dxfId="49" priority="19" operator="containsText" text="Needs Review">
      <formula>NOT(ISERROR(SEARCH(("Needs Review"),(D4))))</formula>
    </cfRule>
    <cfRule type="containsText" dxfId="48" priority="20" operator="containsText" text="Not Started">
      <formula>NOT(ISERROR(SEARCH(("Not Started"),(D4))))</formula>
    </cfRule>
    <cfRule type="containsText" dxfId="47" priority="21" operator="containsText" text="On Hold">
      <formula>NOT(ISERROR(SEARCH(("On Hold"),(D4))))</formula>
    </cfRule>
    <cfRule type="containsText" dxfId="46" priority="22" operator="containsText" text="Overdue">
      <formula>NOT(ISERROR(SEARCH(("Overdue"),(D4))))</formula>
    </cfRule>
    <cfRule type="containsText" dxfId="45" priority="23" operator="containsText" text="Complete">
      <formula>NOT(ISERROR(SEARCH(("Complete"),(D4))))</formula>
    </cfRule>
    <cfRule type="containsText" dxfId="44" priority="24" operator="containsText" text="In Progress">
      <formula>NOT(ISERROR(SEARCH(("In Progress"),(D4))))</formula>
    </cfRule>
  </conditionalFormatting>
  <conditionalFormatting sqref="D5:D13 D20:D30">
    <cfRule type="cellIs" dxfId="43" priority="25" operator="equal">
      <formula>"No Iniciado"</formula>
    </cfRule>
    <cfRule type="cellIs" dxfId="42" priority="26" operator="equal">
      <formula>"Aprobado"</formula>
    </cfRule>
    <cfRule type="cellIs" dxfId="41" priority="27" operator="equal">
      <formula>"En Espera"</formula>
    </cfRule>
    <cfRule type="cellIs" dxfId="40" priority="28" operator="equal">
      <formula>"Atrasado"</formula>
    </cfRule>
    <cfRule type="cellIs" dxfId="39" priority="29" operator="equal">
      <formula>"Aprovado"</formula>
    </cfRule>
    <cfRule type="cellIs" dxfId="38" priority="30" operator="equal">
      <formula>"Requiere Revisión"</formula>
    </cfRule>
    <cfRule type="cellIs" dxfId="37" priority="31" operator="equal">
      <formula>"En Progreso"</formula>
    </cfRule>
    <cfRule type="cellIs" dxfId="36" priority="32" operator="equal">
      <formula>"Completo"</formula>
    </cfRule>
  </conditionalFormatting>
  <conditionalFormatting sqref="D18">
    <cfRule type="containsText" dxfId="35" priority="33" operator="containsText" text="Approved">
      <formula>NOT(ISERROR(SEARCH(("Approved"),(D18))))</formula>
    </cfRule>
    <cfRule type="containsText" dxfId="34" priority="34" operator="containsText" text="Needs Review">
      <formula>NOT(ISERROR(SEARCH(("Needs Review"),(D18))))</formula>
    </cfRule>
    <cfRule type="containsText" dxfId="33" priority="35" operator="containsText" text="Not Started">
      <formula>NOT(ISERROR(SEARCH(("Not Started"),(D18))))</formula>
    </cfRule>
    <cfRule type="containsText" dxfId="32" priority="36" operator="containsText" text="On Hold">
      <formula>NOT(ISERROR(SEARCH(("On Hold"),(D18))))</formula>
    </cfRule>
    <cfRule type="containsText" dxfId="31" priority="37" operator="containsText" text="Overdue">
      <formula>NOT(ISERROR(SEARCH(("Overdue"),(D18))))</formula>
    </cfRule>
    <cfRule type="containsText" dxfId="30" priority="38" operator="containsText" text="Complete">
      <formula>NOT(ISERROR(SEARCH(("Complete"),(D18))))</formula>
    </cfRule>
    <cfRule type="containsText" dxfId="29" priority="39" operator="containsText" text="In Progress">
      <formula>NOT(ISERROR(SEARCH(("In Progress"),(D18))))</formula>
    </cfRule>
  </conditionalFormatting>
  <conditionalFormatting sqref="S5:S14 S19:S30">
    <cfRule type="cellIs" dxfId="28" priority="48" operator="lessThan">
      <formula>0</formula>
    </cfRule>
    <cfRule type="cellIs" dxfId="27" priority="49" operator="greaterThan">
      <formula>0</formula>
    </cfRule>
  </conditionalFormatting>
  <conditionalFormatting sqref="S15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">
    <cfRule type="containsText" dxfId="26" priority="3" operator="containsText" text="Approved">
      <formula>NOT(ISERROR(SEARCH(("Approved"),(D19))))</formula>
    </cfRule>
    <cfRule type="containsText" dxfId="25" priority="4" operator="containsText" text="Needs Review">
      <formula>NOT(ISERROR(SEARCH(("Needs Review"),(D19))))</formula>
    </cfRule>
    <cfRule type="containsText" dxfId="24" priority="5" operator="containsText" text="Not Started">
      <formula>NOT(ISERROR(SEARCH(("Not Started"),(D19))))</formula>
    </cfRule>
    <cfRule type="containsText" dxfId="23" priority="6" operator="containsText" text="On Hold">
      <formula>NOT(ISERROR(SEARCH(("On Hold"),(D19))))</formula>
    </cfRule>
    <cfRule type="containsText" dxfId="22" priority="7" operator="containsText" text="Overdue">
      <formula>NOT(ISERROR(SEARCH(("Overdue"),(D19))))</formula>
    </cfRule>
    <cfRule type="containsText" dxfId="21" priority="8" operator="containsText" text="Complete">
      <formula>NOT(ISERROR(SEARCH(("Complete"),(D19))))</formula>
    </cfRule>
    <cfRule type="containsText" dxfId="20" priority="9" operator="containsText" text="In Progress">
      <formula>NOT(ISERROR(SEARCH(("In Progress"),(D19))))</formula>
    </cfRule>
  </conditionalFormatting>
  <conditionalFormatting sqref="D19">
    <cfRule type="cellIs" dxfId="19" priority="10" operator="equal">
      <formula>"No Iniciado"</formula>
    </cfRule>
    <cfRule type="cellIs" dxfId="18" priority="11" operator="equal">
      <formula>"Aprobado"</formula>
    </cfRule>
    <cfRule type="cellIs" dxfId="17" priority="12" operator="equal">
      <formula>"En Espera"</formula>
    </cfRule>
    <cfRule type="cellIs" dxfId="16" priority="13" operator="equal">
      <formula>"Atrasado"</formula>
    </cfRule>
    <cfRule type="cellIs" dxfId="15" priority="14" operator="equal">
      <formula>"Aprovado"</formula>
    </cfRule>
    <cfRule type="cellIs" dxfId="14" priority="15" operator="equal">
      <formula>"Requiere Revisión"</formula>
    </cfRule>
    <cfRule type="cellIs" dxfId="13" priority="16" operator="equal">
      <formula>"En Progreso"</formula>
    </cfRule>
    <cfRule type="cellIs" dxfId="12" priority="17" operator="equal">
      <formula>"Completo"</formula>
    </cfRule>
  </conditionalFormatting>
  <conditionalFormatting sqref="S31">
    <cfRule type="cellIs" dxfId="1" priority="1" operator="lessThan">
      <formula>0</formula>
    </cfRule>
    <cfRule type="cellIs" dxfId="0" priority="2" operator="greaterThan">
      <formula>0</formula>
    </cfRule>
  </conditionalFormatting>
  <pageMargins left="0.3" right="0.3" top="0.3" bottom="0.3" header="0" footer="0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'listas desplegables'!$F$3:$F$11</xm:f>
          </x14:formula1>
          <xm:sqref>D4:D13 D18:D30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FBFBF"/>
  </sheetPr>
  <dimension ref="A1:Z1000"/>
  <sheetViews>
    <sheetView showGridLines="0" workbookViewId="0"/>
  </sheetViews>
  <sheetFormatPr baseColWidth="10" defaultColWidth="11.19921875" defaultRowHeight="15" customHeight="1" x14ac:dyDescent="0.3"/>
  <cols>
    <col min="1" max="1" width="3.19921875" customWidth="1"/>
    <col min="2" max="2" width="10.8984375" customWidth="1"/>
    <col min="3" max="3" width="3.19921875" customWidth="1"/>
    <col min="4" max="4" width="10.59765625" customWidth="1"/>
    <col min="5" max="5" width="3.19921875" customWidth="1"/>
    <col min="6" max="6" width="12.8984375" customWidth="1"/>
    <col min="7" max="7" width="3.19921875" customWidth="1"/>
    <col min="8" max="26" width="10.59765625" customWidth="1"/>
  </cols>
  <sheetData>
    <row r="1" spans="1:26" ht="42" customHeight="1" x14ac:dyDescent="0.3">
      <c r="A1" s="61"/>
      <c r="B1" s="62" t="s">
        <v>53</v>
      </c>
      <c r="C1" s="63"/>
      <c r="D1" s="63"/>
      <c r="E1" s="63"/>
      <c r="F1" s="63"/>
      <c r="G1" s="63"/>
      <c r="H1" s="63"/>
      <c r="I1" s="63"/>
      <c r="J1" s="63"/>
      <c r="K1" s="61"/>
      <c r="L1" s="61"/>
      <c r="M1" s="61"/>
      <c r="N1" s="61"/>
      <c r="O1" s="61"/>
      <c r="P1" s="61"/>
      <c r="Q1" s="61"/>
      <c r="R1" s="8"/>
      <c r="S1" s="8"/>
      <c r="T1" s="8"/>
      <c r="U1" s="8"/>
      <c r="V1" s="8"/>
      <c r="W1" s="8"/>
      <c r="X1" s="8"/>
      <c r="Y1" s="8"/>
      <c r="Z1" s="8"/>
    </row>
    <row r="2" spans="1:26" ht="24.75" customHeight="1" x14ac:dyDescent="0.3">
      <c r="A2" s="8"/>
      <c r="B2" s="64" t="s">
        <v>54</v>
      </c>
      <c r="C2" s="8"/>
      <c r="D2" s="64" t="s">
        <v>55</v>
      </c>
      <c r="E2" s="8"/>
      <c r="F2" s="64" t="s">
        <v>9</v>
      </c>
      <c r="G2" s="8"/>
    </row>
    <row r="3" spans="1:26" ht="34.5" customHeight="1" x14ac:dyDescent="0.3">
      <c r="A3" s="8"/>
      <c r="B3" s="65" t="s">
        <v>56</v>
      </c>
      <c r="C3" s="8"/>
      <c r="D3" s="66" t="s">
        <v>57</v>
      </c>
      <c r="E3" s="8"/>
      <c r="F3" s="67" t="s">
        <v>38</v>
      </c>
      <c r="G3" s="8"/>
    </row>
    <row r="4" spans="1:26" ht="34.5" customHeight="1" x14ac:dyDescent="0.3">
      <c r="A4" s="8"/>
      <c r="B4" s="68" t="s">
        <v>58</v>
      </c>
      <c r="C4" s="8"/>
      <c r="D4" s="69" t="s">
        <v>59</v>
      </c>
      <c r="E4" s="8"/>
      <c r="F4" s="70" t="s">
        <v>28</v>
      </c>
      <c r="G4" s="8"/>
    </row>
    <row r="5" spans="1:26" ht="34.5" customHeight="1" x14ac:dyDescent="0.3">
      <c r="A5" s="8"/>
      <c r="B5" s="61"/>
      <c r="C5" s="8"/>
      <c r="D5" s="71" t="s">
        <v>60</v>
      </c>
      <c r="E5" s="8"/>
      <c r="F5" s="72" t="s">
        <v>61</v>
      </c>
      <c r="G5" s="8"/>
    </row>
    <row r="6" spans="1:26" ht="34.5" customHeight="1" x14ac:dyDescent="0.3">
      <c r="A6" s="8"/>
      <c r="B6" s="61"/>
      <c r="C6" s="8"/>
      <c r="D6" s="73"/>
      <c r="E6" s="8"/>
      <c r="F6" s="74" t="s">
        <v>62</v>
      </c>
      <c r="G6" s="8"/>
    </row>
    <row r="7" spans="1:26" ht="34.5" customHeight="1" x14ac:dyDescent="0.3">
      <c r="A7" s="8"/>
      <c r="B7" s="61"/>
      <c r="C7" s="8"/>
      <c r="D7" s="73"/>
      <c r="E7" s="8"/>
      <c r="F7" s="75" t="s">
        <v>63</v>
      </c>
      <c r="G7" s="8"/>
    </row>
    <row r="8" spans="1:26" ht="34.5" customHeight="1" x14ac:dyDescent="0.3">
      <c r="A8" s="8"/>
      <c r="B8" s="61"/>
      <c r="C8" s="8"/>
      <c r="E8" s="8"/>
      <c r="F8" s="76" t="s">
        <v>64</v>
      </c>
      <c r="G8" s="8"/>
    </row>
    <row r="9" spans="1:26" ht="34.5" customHeight="1" x14ac:dyDescent="0.3">
      <c r="A9" s="8"/>
      <c r="B9" s="8"/>
      <c r="C9" s="8"/>
      <c r="E9" s="8"/>
      <c r="F9" s="77" t="s">
        <v>65</v>
      </c>
      <c r="G9" s="8"/>
    </row>
    <row r="10" spans="1:26" ht="34.5" customHeight="1" x14ac:dyDescent="0.3">
      <c r="A10" s="8"/>
      <c r="B10" s="8"/>
      <c r="C10" s="8"/>
      <c r="D10" s="73"/>
      <c r="E10" s="8"/>
      <c r="F10" s="25"/>
      <c r="G10" s="8"/>
    </row>
    <row r="11" spans="1:26" ht="34.5" customHeight="1" x14ac:dyDescent="0.3">
      <c r="A11" s="8"/>
      <c r="B11" s="8"/>
      <c r="C11" s="8"/>
      <c r="D11" s="73"/>
      <c r="E11" s="8"/>
      <c r="F11" s="25"/>
      <c r="G11" s="8"/>
    </row>
    <row r="12" spans="1:26" ht="15.75" customHeight="1" x14ac:dyDescent="0.3">
      <c r="A12" s="8"/>
      <c r="B12" s="8"/>
      <c r="C12" s="8"/>
      <c r="D12" s="73"/>
      <c r="E12" s="8"/>
      <c r="F12" s="73"/>
      <c r="G12" s="8"/>
    </row>
    <row r="13" spans="1:26" ht="15.75" customHeight="1" x14ac:dyDescent="0.3">
      <c r="A13" s="8"/>
      <c r="B13" s="8"/>
      <c r="C13" s="8"/>
      <c r="D13" s="73"/>
      <c r="E13" s="8"/>
      <c r="F13" s="73"/>
      <c r="G13" s="8"/>
    </row>
    <row r="14" spans="1:26" ht="15.75" customHeight="1" x14ac:dyDescent="0.3">
      <c r="A14" s="8"/>
      <c r="B14" s="8"/>
      <c r="C14" s="8"/>
      <c r="D14" s="73"/>
      <c r="E14" s="8"/>
      <c r="F14" s="73"/>
      <c r="G14" s="8"/>
    </row>
    <row r="15" spans="1:26" ht="15.75" customHeight="1" x14ac:dyDescent="0.3">
      <c r="A15" s="8"/>
      <c r="B15" s="8"/>
      <c r="C15" s="8"/>
      <c r="D15" s="73"/>
      <c r="E15" s="8"/>
      <c r="F15" s="73"/>
      <c r="G15" s="8"/>
    </row>
    <row r="16" spans="1:26" ht="15.75" customHeight="1" x14ac:dyDescent="0.3">
      <c r="A16" s="8"/>
      <c r="B16" s="8"/>
      <c r="C16" s="8"/>
      <c r="D16" s="73"/>
      <c r="E16" s="8"/>
      <c r="F16" s="73"/>
      <c r="G16" s="8"/>
    </row>
    <row r="17" spans="1:7" ht="15.75" customHeight="1" x14ac:dyDescent="0.3">
      <c r="A17" s="8"/>
      <c r="B17" s="8"/>
      <c r="C17" s="8"/>
      <c r="D17" s="73"/>
      <c r="E17" s="8"/>
      <c r="G17" s="8"/>
    </row>
    <row r="18" spans="1:7" ht="15.75" customHeight="1" x14ac:dyDescent="0.3">
      <c r="A18" s="8"/>
      <c r="B18" s="8"/>
      <c r="C18" s="8"/>
      <c r="D18" s="73"/>
      <c r="E18" s="8"/>
      <c r="G18" s="8"/>
    </row>
    <row r="19" spans="1:7" ht="15.75" customHeight="1" x14ac:dyDescent="0.3">
      <c r="A19" s="8"/>
      <c r="B19" s="8"/>
      <c r="C19" s="8"/>
      <c r="D19" s="73"/>
      <c r="E19" s="8"/>
      <c r="G19" s="8"/>
    </row>
    <row r="20" spans="1:7" ht="15.75" customHeight="1" x14ac:dyDescent="0.3">
      <c r="A20" s="8"/>
      <c r="B20" s="8"/>
      <c r="C20" s="8"/>
      <c r="D20" s="73"/>
      <c r="E20" s="8"/>
      <c r="G20" s="8"/>
    </row>
    <row r="21" spans="1:7" ht="15.75" customHeight="1" x14ac:dyDescent="0.3">
      <c r="A21" s="8"/>
      <c r="B21" s="8"/>
      <c r="C21" s="8"/>
      <c r="D21" s="73"/>
      <c r="E21" s="8"/>
      <c r="G21" s="8"/>
    </row>
    <row r="22" spans="1:7" ht="15.75" customHeight="1" x14ac:dyDescent="0.3">
      <c r="A22" s="8"/>
      <c r="B22" s="8"/>
      <c r="C22" s="8"/>
      <c r="D22" s="73"/>
      <c r="E22" s="8"/>
      <c r="G22" s="8"/>
    </row>
    <row r="23" spans="1:7" ht="15.75" customHeight="1" x14ac:dyDescent="0.3">
      <c r="A23" s="8"/>
      <c r="B23" s="8"/>
      <c r="C23" s="8"/>
      <c r="D23" s="73"/>
      <c r="E23" s="8"/>
      <c r="G23" s="8"/>
    </row>
    <row r="24" spans="1:7" ht="15.75" customHeight="1" x14ac:dyDescent="0.3">
      <c r="A24" s="8"/>
      <c r="B24" s="8"/>
      <c r="C24" s="8"/>
      <c r="D24" s="73"/>
      <c r="E24" s="8"/>
      <c r="G24" s="8"/>
    </row>
    <row r="25" spans="1:7" ht="15.75" customHeight="1" x14ac:dyDescent="0.3">
      <c r="A25" s="8"/>
      <c r="B25" s="8"/>
      <c r="C25" s="8"/>
      <c r="D25" s="73"/>
      <c r="E25" s="8"/>
      <c r="G25" s="8"/>
    </row>
    <row r="26" spans="1:7" ht="15.75" customHeight="1" x14ac:dyDescent="0.3">
      <c r="A26" s="8"/>
      <c r="B26" s="8"/>
      <c r="C26" s="8"/>
      <c r="D26" s="73"/>
      <c r="E26" s="8"/>
      <c r="G26" s="8"/>
    </row>
    <row r="27" spans="1:7" ht="15.75" customHeight="1" x14ac:dyDescent="0.3">
      <c r="A27" s="8"/>
      <c r="B27" s="8"/>
      <c r="C27" s="8"/>
      <c r="D27" s="73"/>
      <c r="E27" s="8"/>
      <c r="G27" s="8"/>
    </row>
    <row r="28" spans="1:7" ht="15.75" customHeight="1" x14ac:dyDescent="0.3">
      <c r="A28" s="8"/>
      <c r="B28" s="8"/>
      <c r="C28" s="8"/>
      <c r="D28" s="73"/>
      <c r="E28" s="8"/>
      <c r="G28" s="8"/>
    </row>
    <row r="29" spans="1:7" ht="15.75" customHeight="1" x14ac:dyDescent="0.3">
      <c r="A29" s="8"/>
      <c r="B29" s="8"/>
      <c r="C29" s="8"/>
      <c r="D29" s="73"/>
      <c r="E29" s="8"/>
      <c r="G29" s="8"/>
    </row>
    <row r="30" spans="1:7" ht="15.75" customHeight="1" x14ac:dyDescent="0.3">
      <c r="A30" s="8"/>
      <c r="B30" s="8"/>
      <c r="C30" s="8"/>
      <c r="D30" s="73"/>
      <c r="E30" s="8"/>
      <c r="G30" s="8"/>
    </row>
    <row r="31" spans="1:7" ht="15.75" customHeight="1" x14ac:dyDescent="0.3">
      <c r="A31" s="8"/>
      <c r="B31" s="8"/>
      <c r="C31" s="8"/>
      <c r="D31" s="73"/>
      <c r="E31" s="8"/>
      <c r="G31" s="8"/>
    </row>
    <row r="32" spans="1:7" ht="15.75" customHeight="1" x14ac:dyDescent="0.3">
      <c r="D32" s="73"/>
    </row>
    <row r="33" spans="1:7" ht="15.75" customHeight="1" x14ac:dyDescent="0.3">
      <c r="A33" s="8"/>
      <c r="B33" s="8"/>
      <c r="C33" s="8"/>
      <c r="E33" s="8"/>
      <c r="G33" s="8"/>
    </row>
    <row r="34" spans="1:7" ht="15.75" customHeight="1" x14ac:dyDescent="0.3">
      <c r="A34" s="8"/>
      <c r="B34" s="8"/>
      <c r="C34" s="8"/>
      <c r="E34" s="8"/>
      <c r="G34" s="8"/>
    </row>
    <row r="35" spans="1:7" ht="15.75" customHeight="1" x14ac:dyDescent="0.3">
      <c r="A35" s="8"/>
      <c r="B35" s="8"/>
      <c r="C35" s="8"/>
      <c r="E35" s="8"/>
      <c r="G35" s="8"/>
    </row>
    <row r="36" spans="1:7" ht="15.75" customHeight="1" x14ac:dyDescent="0.3">
      <c r="A36" s="8"/>
      <c r="B36" s="8"/>
      <c r="C36" s="8"/>
      <c r="E36" s="8"/>
      <c r="G36" s="8"/>
    </row>
    <row r="37" spans="1:7" ht="15.75" customHeight="1" x14ac:dyDescent="0.3">
      <c r="A37" s="8"/>
      <c r="B37" s="8"/>
      <c r="C37" s="8"/>
      <c r="E37" s="8"/>
      <c r="G37" s="8"/>
    </row>
    <row r="38" spans="1:7" ht="15.75" customHeight="1" x14ac:dyDescent="0.3">
      <c r="A38" s="8"/>
      <c r="B38" s="8"/>
      <c r="C38" s="8"/>
      <c r="E38" s="8"/>
      <c r="G38" s="8"/>
    </row>
    <row r="39" spans="1:7" ht="15.75" customHeight="1" x14ac:dyDescent="0.3">
      <c r="A39" s="8"/>
      <c r="B39" s="8"/>
      <c r="C39" s="8"/>
      <c r="E39" s="8"/>
      <c r="G39" s="8"/>
    </row>
    <row r="40" spans="1:7" ht="15.75" customHeight="1" x14ac:dyDescent="0.3">
      <c r="A40" s="8"/>
      <c r="B40" s="8"/>
      <c r="C40" s="8"/>
      <c r="E40" s="8"/>
      <c r="G40" s="8"/>
    </row>
    <row r="41" spans="1:7" ht="15.75" customHeight="1" x14ac:dyDescent="0.3">
      <c r="A41" s="8"/>
      <c r="B41" s="8"/>
      <c r="C41" s="8"/>
      <c r="E41" s="8"/>
      <c r="G41" s="8"/>
    </row>
    <row r="42" spans="1:7" ht="15.75" customHeight="1" x14ac:dyDescent="0.3">
      <c r="A42" s="8"/>
      <c r="B42" s="8"/>
      <c r="C42" s="8"/>
      <c r="E42" s="8"/>
      <c r="G42" s="8"/>
    </row>
    <row r="43" spans="1:7" ht="15.75" customHeight="1" x14ac:dyDescent="0.3">
      <c r="A43" s="8"/>
      <c r="B43" s="8"/>
      <c r="C43" s="8"/>
      <c r="E43" s="8"/>
      <c r="G43" s="8"/>
    </row>
    <row r="44" spans="1:7" ht="15.75" customHeight="1" x14ac:dyDescent="0.3">
      <c r="A44" s="8"/>
      <c r="B44" s="8"/>
      <c r="C44" s="8"/>
      <c r="E44" s="8"/>
      <c r="G44" s="8"/>
    </row>
    <row r="45" spans="1:7" ht="15.75" customHeight="1" x14ac:dyDescent="0.3">
      <c r="A45" s="8"/>
      <c r="B45" s="8"/>
      <c r="C45" s="8"/>
      <c r="E45" s="8"/>
      <c r="G45" s="8"/>
    </row>
    <row r="46" spans="1:7" ht="15.75" customHeight="1" x14ac:dyDescent="0.3">
      <c r="A46" s="8"/>
      <c r="B46" s="8"/>
      <c r="C46" s="8"/>
      <c r="E46" s="8"/>
      <c r="G46" s="8"/>
    </row>
    <row r="47" spans="1:7" ht="15.75" customHeight="1" x14ac:dyDescent="0.3">
      <c r="A47" s="8"/>
      <c r="B47" s="8"/>
      <c r="C47" s="8"/>
      <c r="E47" s="8"/>
      <c r="G47" s="8"/>
    </row>
    <row r="48" spans="1:7" ht="15.75" customHeight="1" x14ac:dyDescent="0.3">
      <c r="A48" s="8"/>
      <c r="B48" s="8"/>
      <c r="C48" s="8"/>
      <c r="E48" s="8"/>
      <c r="G48" s="8"/>
    </row>
    <row r="49" spans="1:7" ht="15.75" customHeight="1" x14ac:dyDescent="0.3">
      <c r="A49" s="8"/>
      <c r="B49" s="8"/>
      <c r="C49" s="8"/>
      <c r="E49" s="8"/>
      <c r="G49" s="8"/>
    </row>
    <row r="50" spans="1:7" ht="15.75" customHeight="1" x14ac:dyDescent="0.3">
      <c r="A50" s="8"/>
      <c r="B50" s="8"/>
      <c r="C50" s="8"/>
      <c r="E50" s="8"/>
      <c r="G50" s="8"/>
    </row>
    <row r="51" spans="1:7" ht="15.75" customHeight="1" x14ac:dyDescent="0.3">
      <c r="A51" s="8"/>
      <c r="B51" s="8"/>
      <c r="C51" s="8"/>
      <c r="E51" s="8"/>
      <c r="G51" s="8"/>
    </row>
    <row r="52" spans="1:7" ht="15.75" customHeight="1" x14ac:dyDescent="0.3">
      <c r="A52" s="8"/>
      <c r="B52" s="8"/>
      <c r="C52" s="8"/>
      <c r="E52" s="8"/>
      <c r="G52" s="8"/>
    </row>
    <row r="53" spans="1:7" ht="15.75" customHeight="1" x14ac:dyDescent="0.3">
      <c r="A53" s="8"/>
      <c r="B53" s="8"/>
      <c r="C53" s="8"/>
      <c r="E53" s="8"/>
      <c r="G53" s="8"/>
    </row>
    <row r="54" spans="1:7" ht="15.75" customHeight="1" x14ac:dyDescent="0.3">
      <c r="A54" s="8"/>
      <c r="B54" s="8"/>
      <c r="C54" s="8"/>
      <c r="E54" s="8"/>
      <c r="G54" s="8"/>
    </row>
    <row r="55" spans="1:7" ht="15.75" customHeight="1" x14ac:dyDescent="0.3">
      <c r="A55" s="8"/>
      <c r="B55" s="8"/>
      <c r="C55" s="8"/>
      <c r="E55" s="8"/>
      <c r="G55" s="8"/>
    </row>
    <row r="56" spans="1:7" ht="15.75" customHeight="1" x14ac:dyDescent="0.3">
      <c r="A56" s="8"/>
      <c r="B56" s="8"/>
      <c r="C56" s="8"/>
      <c r="E56" s="8"/>
      <c r="G56" s="8"/>
    </row>
    <row r="57" spans="1:7" ht="15.75" customHeight="1" x14ac:dyDescent="0.3">
      <c r="A57" s="8"/>
      <c r="B57" s="8"/>
      <c r="C57" s="8"/>
      <c r="E57" s="8"/>
      <c r="G57" s="8"/>
    </row>
    <row r="58" spans="1:7" ht="15.75" customHeight="1" x14ac:dyDescent="0.3">
      <c r="A58" s="8"/>
      <c r="B58" s="8"/>
      <c r="C58" s="8"/>
      <c r="E58" s="8"/>
      <c r="G58" s="8"/>
    </row>
    <row r="59" spans="1:7" ht="15.75" customHeight="1" x14ac:dyDescent="0.3">
      <c r="A59" s="8"/>
      <c r="B59" s="8"/>
      <c r="C59" s="8"/>
      <c r="E59" s="8"/>
      <c r="G59" s="8"/>
    </row>
    <row r="60" spans="1:7" ht="15.75" customHeight="1" x14ac:dyDescent="0.3">
      <c r="A60" s="8"/>
      <c r="B60" s="8"/>
      <c r="C60" s="8"/>
      <c r="E60" s="8"/>
      <c r="G60" s="8"/>
    </row>
    <row r="61" spans="1:7" ht="15.75" customHeight="1" x14ac:dyDescent="0.3">
      <c r="A61" s="8"/>
      <c r="B61" s="8"/>
      <c r="C61" s="8"/>
      <c r="E61" s="8"/>
      <c r="G61" s="8"/>
    </row>
    <row r="62" spans="1:7" ht="15.75" customHeight="1" x14ac:dyDescent="0.3">
      <c r="A62" s="61"/>
      <c r="B62" s="61"/>
      <c r="C62" s="61"/>
      <c r="E62" s="61"/>
      <c r="G62" s="61"/>
    </row>
    <row r="63" spans="1:7" ht="15.75" customHeight="1" x14ac:dyDescent="0.3">
      <c r="A63" s="61"/>
      <c r="B63" s="61"/>
      <c r="C63" s="61"/>
      <c r="E63" s="61"/>
      <c r="G63" s="61"/>
    </row>
    <row r="64" spans="1:7" ht="15.75" customHeight="1" x14ac:dyDescent="0.3">
      <c r="A64" s="61"/>
      <c r="B64" s="61"/>
      <c r="C64" s="61"/>
      <c r="E64" s="61"/>
      <c r="G64" s="61"/>
    </row>
    <row r="65" spans="1:7" ht="15.75" customHeight="1" x14ac:dyDescent="0.3">
      <c r="A65" s="61"/>
      <c r="B65" s="61"/>
      <c r="C65" s="61"/>
      <c r="E65" s="61"/>
      <c r="G65" s="61"/>
    </row>
    <row r="66" spans="1:7" ht="15.75" customHeight="1" x14ac:dyDescent="0.3">
      <c r="A66" s="61"/>
      <c r="B66" s="61"/>
      <c r="C66" s="61"/>
      <c r="E66" s="61"/>
      <c r="G66" s="61"/>
    </row>
    <row r="67" spans="1:7" ht="15.75" customHeight="1" x14ac:dyDescent="0.3">
      <c r="A67" s="61"/>
      <c r="B67" s="61"/>
      <c r="C67" s="61"/>
      <c r="E67" s="61"/>
      <c r="G67" s="61"/>
    </row>
    <row r="68" spans="1:7" ht="15.75" customHeight="1" x14ac:dyDescent="0.3">
      <c r="A68" s="61"/>
      <c r="B68" s="61"/>
      <c r="C68" s="61"/>
      <c r="E68" s="61"/>
      <c r="G68" s="61"/>
    </row>
    <row r="69" spans="1:7" ht="15.75" customHeight="1" x14ac:dyDescent="0.3">
      <c r="A69" s="61"/>
      <c r="B69" s="61"/>
      <c r="C69" s="61"/>
      <c r="E69" s="61"/>
      <c r="G69" s="61"/>
    </row>
    <row r="70" spans="1:7" ht="15.75" customHeight="1" x14ac:dyDescent="0.3">
      <c r="A70" s="61"/>
      <c r="B70" s="61"/>
      <c r="C70" s="61"/>
      <c r="E70" s="61"/>
      <c r="G70" s="61"/>
    </row>
    <row r="71" spans="1:7" ht="15.75" customHeight="1" x14ac:dyDescent="0.3">
      <c r="A71" s="61"/>
      <c r="B71" s="61"/>
      <c r="C71" s="61"/>
      <c r="E71" s="61"/>
      <c r="G71" s="61"/>
    </row>
    <row r="72" spans="1:7" ht="15.75" customHeight="1" x14ac:dyDescent="0.3">
      <c r="A72" s="61"/>
      <c r="B72" s="61"/>
      <c r="C72" s="61"/>
      <c r="E72" s="61"/>
      <c r="G72" s="61"/>
    </row>
    <row r="73" spans="1:7" ht="15.75" customHeight="1" x14ac:dyDescent="0.3">
      <c r="A73" s="61"/>
      <c r="B73" s="61"/>
      <c r="C73" s="61"/>
      <c r="E73" s="61"/>
      <c r="G73" s="61"/>
    </row>
    <row r="74" spans="1:7" ht="15.75" customHeight="1" x14ac:dyDescent="0.3">
      <c r="A74" s="61"/>
      <c r="B74" s="61"/>
      <c r="C74" s="61"/>
      <c r="E74" s="61"/>
      <c r="G74" s="61"/>
    </row>
    <row r="75" spans="1:7" ht="15.75" customHeight="1" x14ac:dyDescent="0.3">
      <c r="A75" s="61"/>
      <c r="B75" s="61"/>
      <c r="C75" s="61"/>
      <c r="E75" s="61"/>
      <c r="G75" s="61"/>
    </row>
    <row r="76" spans="1:7" ht="15.75" customHeight="1" x14ac:dyDescent="0.3">
      <c r="A76" s="61"/>
      <c r="B76" s="61"/>
      <c r="C76" s="61"/>
      <c r="E76" s="61"/>
      <c r="G76" s="61"/>
    </row>
    <row r="77" spans="1:7" ht="15.75" customHeight="1" x14ac:dyDescent="0.3">
      <c r="A77" s="61"/>
      <c r="B77" s="61"/>
      <c r="C77" s="61"/>
      <c r="E77" s="61"/>
      <c r="G77" s="61"/>
    </row>
    <row r="78" spans="1:7" ht="15.75" customHeight="1" x14ac:dyDescent="0.3">
      <c r="A78" s="61"/>
      <c r="B78" s="61"/>
      <c r="C78" s="61"/>
      <c r="E78" s="61"/>
      <c r="G78" s="61"/>
    </row>
    <row r="79" spans="1:7" ht="15.75" customHeight="1" x14ac:dyDescent="0.3">
      <c r="A79" s="61"/>
      <c r="B79" s="61"/>
      <c r="C79" s="61"/>
      <c r="E79" s="61"/>
      <c r="G79" s="61"/>
    </row>
    <row r="80" spans="1:7" ht="15.75" customHeight="1" x14ac:dyDescent="0.3">
      <c r="A80" s="61"/>
      <c r="B80" s="61"/>
      <c r="C80" s="61"/>
      <c r="E80" s="61"/>
      <c r="G80" s="61"/>
    </row>
    <row r="81" spans="1:7" ht="15.75" customHeight="1" x14ac:dyDescent="0.3">
      <c r="A81" s="61"/>
      <c r="B81" s="61"/>
      <c r="C81" s="61"/>
      <c r="E81" s="61"/>
      <c r="G81" s="61"/>
    </row>
    <row r="82" spans="1:7" ht="15.75" customHeight="1" x14ac:dyDescent="0.3">
      <c r="A82" s="61"/>
      <c r="B82" s="61"/>
      <c r="C82" s="61"/>
      <c r="E82" s="61"/>
      <c r="G82" s="61"/>
    </row>
    <row r="83" spans="1:7" ht="15.75" customHeight="1" x14ac:dyDescent="0.3">
      <c r="A83" s="61"/>
      <c r="B83" s="61"/>
      <c r="C83" s="61"/>
      <c r="E83" s="61"/>
      <c r="G83" s="61"/>
    </row>
    <row r="84" spans="1:7" ht="15.75" customHeight="1" x14ac:dyDescent="0.3">
      <c r="A84" s="61"/>
      <c r="B84" s="61"/>
      <c r="C84" s="61"/>
      <c r="E84" s="61"/>
      <c r="G84" s="61"/>
    </row>
    <row r="85" spans="1:7" ht="15.75" customHeight="1" x14ac:dyDescent="0.3">
      <c r="A85" s="61"/>
      <c r="B85" s="61"/>
      <c r="C85" s="61"/>
      <c r="E85" s="61"/>
      <c r="G85" s="61"/>
    </row>
    <row r="86" spans="1:7" ht="15.75" customHeight="1" x14ac:dyDescent="0.3">
      <c r="A86" s="61"/>
      <c r="B86" s="61"/>
      <c r="C86" s="61"/>
      <c r="E86" s="61"/>
      <c r="G86" s="61"/>
    </row>
    <row r="87" spans="1:7" ht="15.75" customHeight="1" x14ac:dyDescent="0.3">
      <c r="A87" s="61"/>
      <c r="B87" s="61"/>
      <c r="C87" s="61"/>
      <c r="E87" s="61"/>
      <c r="G87" s="61"/>
    </row>
    <row r="88" spans="1:7" ht="15.75" customHeight="1" x14ac:dyDescent="0.3">
      <c r="A88" s="61"/>
      <c r="B88" s="61"/>
      <c r="C88" s="61"/>
      <c r="E88" s="61"/>
      <c r="G88" s="61"/>
    </row>
    <row r="89" spans="1:7" ht="15.75" customHeight="1" x14ac:dyDescent="0.3">
      <c r="A89" s="61"/>
      <c r="B89" s="61"/>
      <c r="C89" s="61"/>
      <c r="E89" s="61"/>
      <c r="G89" s="61"/>
    </row>
    <row r="90" spans="1:7" ht="15.75" customHeight="1" x14ac:dyDescent="0.3">
      <c r="A90" s="61"/>
      <c r="B90" s="61"/>
      <c r="C90" s="61"/>
      <c r="E90" s="61"/>
      <c r="G90" s="61"/>
    </row>
    <row r="91" spans="1:7" ht="15.75" customHeight="1" x14ac:dyDescent="0.3">
      <c r="A91" s="61"/>
      <c r="B91" s="61"/>
      <c r="C91" s="61"/>
      <c r="E91" s="61"/>
      <c r="G91" s="61"/>
    </row>
    <row r="92" spans="1:7" ht="15.75" customHeight="1" x14ac:dyDescent="0.3">
      <c r="A92" s="61"/>
      <c r="B92" s="61"/>
      <c r="C92" s="61"/>
      <c r="E92" s="61"/>
      <c r="G92" s="61"/>
    </row>
    <row r="93" spans="1:7" ht="15.75" customHeight="1" x14ac:dyDescent="0.3">
      <c r="A93" s="61"/>
      <c r="B93" s="61"/>
      <c r="C93" s="61"/>
      <c r="E93" s="61"/>
      <c r="G93" s="61"/>
    </row>
    <row r="94" spans="1:7" ht="15.75" customHeight="1" x14ac:dyDescent="0.3">
      <c r="A94" s="61"/>
      <c r="B94" s="61"/>
      <c r="C94" s="61"/>
      <c r="E94" s="61"/>
      <c r="G94" s="61"/>
    </row>
    <row r="95" spans="1:7" ht="15.75" customHeight="1" x14ac:dyDescent="0.3">
      <c r="A95" s="61"/>
      <c r="B95" s="61"/>
      <c r="C95" s="61"/>
      <c r="E95" s="61"/>
      <c r="G95" s="61"/>
    </row>
    <row r="96" spans="1:7" ht="15.75" customHeight="1" x14ac:dyDescent="0.3">
      <c r="A96" s="61"/>
      <c r="B96" s="61"/>
      <c r="C96" s="61"/>
      <c r="E96" s="61"/>
      <c r="G96" s="61"/>
    </row>
    <row r="97" spans="1:7" ht="15.75" customHeight="1" x14ac:dyDescent="0.3">
      <c r="A97" s="61"/>
      <c r="B97" s="61"/>
      <c r="C97" s="61"/>
      <c r="E97" s="61"/>
      <c r="G97" s="61"/>
    </row>
    <row r="98" spans="1:7" ht="15.75" customHeight="1" x14ac:dyDescent="0.3">
      <c r="A98" s="61"/>
      <c r="B98" s="61"/>
      <c r="C98" s="61"/>
      <c r="E98" s="61"/>
      <c r="G98" s="61"/>
    </row>
    <row r="99" spans="1:7" ht="15.75" customHeight="1" x14ac:dyDescent="0.3">
      <c r="A99" s="61"/>
      <c r="B99" s="61"/>
      <c r="C99" s="61"/>
      <c r="E99" s="61"/>
      <c r="G99" s="61"/>
    </row>
    <row r="100" spans="1:7" ht="15.75" customHeight="1" x14ac:dyDescent="0.3">
      <c r="A100" s="61"/>
      <c r="B100" s="61"/>
      <c r="C100" s="61"/>
      <c r="E100" s="61"/>
      <c r="G100" s="61"/>
    </row>
    <row r="101" spans="1:7" ht="15.75" customHeight="1" x14ac:dyDescent="0.3">
      <c r="A101" s="61"/>
      <c r="B101" s="61"/>
      <c r="C101" s="61"/>
      <c r="E101" s="61"/>
      <c r="G101" s="61"/>
    </row>
    <row r="102" spans="1:7" ht="15.75" customHeight="1" x14ac:dyDescent="0.3">
      <c r="A102" s="61"/>
      <c r="B102" s="61"/>
      <c r="C102" s="61"/>
      <c r="E102" s="61"/>
      <c r="G102" s="61"/>
    </row>
    <row r="103" spans="1:7" ht="15.75" customHeight="1" x14ac:dyDescent="0.3">
      <c r="A103" s="61"/>
      <c r="B103" s="61"/>
      <c r="C103" s="61"/>
      <c r="E103" s="61"/>
      <c r="G103" s="61"/>
    </row>
    <row r="104" spans="1:7" ht="15.75" customHeight="1" x14ac:dyDescent="0.3">
      <c r="A104" s="61"/>
      <c r="B104" s="61"/>
      <c r="C104" s="61"/>
      <c r="E104" s="61"/>
      <c r="G104" s="61"/>
    </row>
    <row r="105" spans="1:7" ht="15.75" customHeight="1" x14ac:dyDescent="0.3">
      <c r="A105" s="61"/>
      <c r="B105" s="61"/>
      <c r="C105" s="61"/>
      <c r="E105" s="61"/>
      <c r="G105" s="61"/>
    </row>
    <row r="106" spans="1:7" ht="15.75" customHeight="1" x14ac:dyDescent="0.3">
      <c r="A106" s="61"/>
      <c r="B106" s="61"/>
      <c r="C106" s="61"/>
      <c r="E106" s="61"/>
      <c r="G106" s="61"/>
    </row>
    <row r="107" spans="1:7" ht="15.75" customHeight="1" x14ac:dyDescent="0.3">
      <c r="A107" s="61"/>
      <c r="B107" s="61"/>
      <c r="C107" s="61"/>
      <c r="E107" s="61"/>
      <c r="G107" s="61"/>
    </row>
    <row r="108" spans="1:7" ht="15.75" customHeight="1" x14ac:dyDescent="0.3">
      <c r="A108" s="61"/>
      <c r="B108" s="61"/>
      <c r="C108" s="61"/>
      <c r="E108" s="61"/>
      <c r="G108" s="61"/>
    </row>
    <row r="109" spans="1:7" ht="15.75" customHeight="1" x14ac:dyDescent="0.3">
      <c r="A109" s="61"/>
      <c r="B109" s="61"/>
      <c r="C109" s="61"/>
      <c r="E109" s="61"/>
      <c r="G109" s="61"/>
    </row>
    <row r="110" spans="1:7" ht="15.75" customHeight="1" x14ac:dyDescent="0.3">
      <c r="A110" s="61"/>
      <c r="B110" s="61"/>
      <c r="C110" s="61"/>
      <c r="E110" s="61"/>
      <c r="G110" s="61"/>
    </row>
    <row r="111" spans="1:7" ht="15.75" customHeight="1" x14ac:dyDescent="0.3">
      <c r="A111" s="61"/>
      <c r="B111" s="61"/>
      <c r="C111" s="61"/>
      <c r="E111" s="61"/>
      <c r="G111" s="61"/>
    </row>
    <row r="112" spans="1:7" ht="15.75" customHeight="1" x14ac:dyDescent="0.3">
      <c r="A112" s="61"/>
      <c r="B112" s="61"/>
      <c r="C112" s="61"/>
      <c r="E112" s="61"/>
      <c r="G112" s="61"/>
    </row>
    <row r="113" spans="1:7" ht="15.75" customHeight="1" x14ac:dyDescent="0.3">
      <c r="A113" s="61"/>
      <c r="B113" s="61"/>
      <c r="C113" s="61"/>
      <c r="E113" s="61"/>
      <c r="G113" s="61"/>
    </row>
    <row r="114" spans="1:7" ht="15.75" customHeight="1" x14ac:dyDescent="0.3">
      <c r="A114" s="61"/>
      <c r="B114" s="61"/>
      <c r="C114" s="61"/>
      <c r="E114" s="61"/>
      <c r="G114" s="61"/>
    </row>
    <row r="115" spans="1:7" ht="15.75" customHeight="1" x14ac:dyDescent="0.3">
      <c r="A115" s="61"/>
      <c r="B115" s="61"/>
      <c r="C115" s="61"/>
      <c r="E115" s="61"/>
      <c r="G115" s="61"/>
    </row>
    <row r="116" spans="1:7" ht="15.75" customHeight="1" x14ac:dyDescent="0.3">
      <c r="A116" s="61"/>
      <c r="B116" s="61"/>
      <c r="C116" s="61"/>
      <c r="E116" s="61"/>
      <c r="G116" s="61"/>
    </row>
    <row r="117" spans="1:7" ht="15.75" customHeight="1" x14ac:dyDescent="0.3">
      <c r="A117" s="61"/>
      <c r="B117" s="61"/>
      <c r="C117" s="61"/>
      <c r="E117" s="61"/>
      <c r="G117" s="61"/>
    </row>
    <row r="118" spans="1:7" ht="15.75" customHeight="1" x14ac:dyDescent="0.3">
      <c r="A118" s="61"/>
      <c r="B118" s="61"/>
      <c r="C118" s="61"/>
      <c r="E118" s="61"/>
      <c r="G118" s="61"/>
    </row>
    <row r="119" spans="1:7" ht="15.75" customHeight="1" x14ac:dyDescent="0.3">
      <c r="A119" s="61"/>
      <c r="B119" s="61"/>
      <c r="C119" s="61"/>
      <c r="E119" s="61"/>
      <c r="G119" s="61"/>
    </row>
    <row r="120" spans="1:7" ht="15.75" customHeight="1" x14ac:dyDescent="0.3">
      <c r="A120" s="61"/>
      <c r="B120" s="61"/>
      <c r="C120" s="61"/>
      <c r="E120" s="61"/>
      <c r="G120" s="61"/>
    </row>
    <row r="121" spans="1:7" ht="15.75" customHeight="1" x14ac:dyDescent="0.3">
      <c r="A121" s="61"/>
      <c r="B121" s="61"/>
      <c r="C121" s="61"/>
      <c r="E121" s="61"/>
      <c r="G121" s="61"/>
    </row>
    <row r="122" spans="1:7" ht="15.75" customHeight="1" x14ac:dyDescent="0.3">
      <c r="A122" s="61"/>
      <c r="B122" s="61"/>
      <c r="C122" s="61"/>
      <c r="E122" s="61"/>
      <c r="G122" s="61"/>
    </row>
    <row r="123" spans="1:7" ht="15.75" customHeight="1" x14ac:dyDescent="0.3">
      <c r="A123" s="61"/>
      <c r="B123" s="61"/>
      <c r="C123" s="61"/>
      <c r="E123" s="61"/>
      <c r="G123" s="61"/>
    </row>
    <row r="124" spans="1:7" ht="15.75" customHeight="1" x14ac:dyDescent="0.3">
      <c r="A124" s="61"/>
      <c r="B124" s="61"/>
      <c r="C124" s="61"/>
      <c r="E124" s="61"/>
      <c r="G124" s="61"/>
    </row>
    <row r="125" spans="1:7" ht="15.75" customHeight="1" x14ac:dyDescent="0.3">
      <c r="A125" s="61"/>
      <c r="B125" s="61"/>
      <c r="C125" s="61"/>
      <c r="E125" s="61"/>
      <c r="G125" s="61"/>
    </row>
    <row r="126" spans="1:7" ht="15.75" customHeight="1" x14ac:dyDescent="0.3">
      <c r="A126" s="61"/>
      <c r="B126" s="61"/>
      <c r="C126" s="61"/>
      <c r="E126" s="61"/>
      <c r="G126" s="61"/>
    </row>
    <row r="127" spans="1:7" ht="15.75" customHeight="1" x14ac:dyDescent="0.3">
      <c r="A127" s="61"/>
      <c r="B127" s="61"/>
      <c r="C127" s="61"/>
      <c r="E127" s="61"/>
      <c r="G127" s="61"/>
    </row>
    <row r="128" spans="1:7" ht="15.75" customHeight="1" x14ac:dyDescent="0.3">
      <c r="A128" s="61"/>
      <c r="B128" s="61"/>
      <c r="C128" s="61"/>
      <c r="E128" s="61"/>
      <c r="G128" s="61"/>
    </row>
    <row r="129" spans="1:7" ht="15.75" customHeight="1" x14ac:dyDescent="0.3">
      <c r="A129" s="61"/>
      <c r="B129" s="61"/>
      <c r="C129" s="61"/>
      <c r="E129" s="61"/>
      <c r="G129" s="61"/>
    </row>
    <row r="130" spans="1:7" ht="15.75" customHeight="1" x14ac:dyDescent="0.3">
      <c r="A130" s="61"/>
      <c r="B130" s="61"/>
      <c r="C130" s="61"/>
      <c r="E130" s="61"/>
      <c r="G130" s="61"/>
    </row>
    <row r="131" spans="1:7" ht="15.75" customHeight="1" x14ac:dyDescent="0.3">
      <c r="A131" s="61"/>
      <c r="B131" s="61"/>
      <c r="C131" s="61"/>
      <c r="E131" s="61"/>
      <c r="G131" s="61"/>
    </row>
    <row r="132" spans="1:7" ht="15.75" customHeight="1" x14ac:dyDescent="0.3">
      <c r="A132" s="61"/>
      <c r="B132" s="61"/>
      <c r="C132" s="61"/>
      <c r="E132" s="61"/>
      <c r="G132" s="61"/>
    </row>
    <row r="133" spans="1:7" ht="15.75" customHeight="1" x14ac:dyDescent="0.3">
      <c r="A133" s="61"/>
      <c r="B133" s="61"/>
      <c r="C133" s="61"/>
      <c r="E133" s="61"/>
      <c r="G133" s="61"/>
    </row>
    <row r="134" spans="1:7" ht="15.75" customHeight="1" x14ac:dyDescent="0.3">
      <c r="A134" s="61"/>
      <c r="B134" s="61"/>
      <c r="C134" s="61"/>
      <c r="E134" s="61"/>
      <c r="G134" s="61"/>
    </row>
    <row r="135" spans="1:7" ht="15.75" customHeight="1" x14ac:dyDescent="0.3">
      <c r="A135" s="61"/>
      <c r="B135" s="61"/>
      <c r="C135" s="61"/>
      <c r="E135" s="61"/>
      <c r="G135" s="61"/>
    </row>
    <row r="136" spans="1:7" ht="15.75" customHeight="1" x14ac:dyDescent="0.3">
      <c r="A136" s="61"/>
      <c r="B136" s="61"/>
      <c r="C136" s="61"/>
      <c r="E136" s="61"/>
      <c r="G136" s="61"/>
    </row>
    <row r="137" spans="1:7" ht="15.75" customHeight="1" x14ac:dyDescent="0.3">
      <c r="A137" s="61"/>
      <c r="B137" s="61"/>
      <c r="C137" s="61"/>
      <c r="E137" s="61"/>
      <c r="G137" s="61"/>
    </row>
    <row r="138" spans="1:7" ht="15.75" customHeight="1" x14ac:dyDescent="0.3">
      <c r="A138" s="61"/>
      <c r="B138" s="61"/>
      <c r="C138" s="61"/>
      <c r="E138" s="61"/>
      <c r="G138" s="61"/>
    </row>
    <row r="139" spans="1:7" ht="15.75" customHeight="1" x14ac:dyDescent="0.3">
      <c r="A139" s="61"/>
      <c r="B139" s="61"/>
      <c r="C139" s="61"/>
      <c r="E139" s="61"/>
      <c r="G139" s="61"/>
    </row>
    <row r="140" spans="1:7" ht="15.75" customHeight="1" x14ac:dyDescent="0.3">
      <c r="A140" s="61"/>
      <c r="B140" s="61"/>
      <c r="C140" s="61"/>
      <c r="E140" s="61"/>
      <c r="G140" s="61"/>
    </row>
    <row r="141" spans="1:7" ht="15.75" customHeight="1" x14ac:dyDescent="0.3">
      <c r="A141" s="61"/>
      <c r="B141" s="61"/>
      <c r="C141" s="61"/>
      <c r="E141" s="61"/>
      <c r="G141" s="61"/>
    </row>
    <row r="142" spans="1:7" ht="15.75" customHeight="1" x14ac:dyDescent="0.3">
      <c r="A142" s="61"/>
      <c r="B142" s="61"/>
      <c r="C142" s="61"/>
      <c r="E142" s="61"/>
      <c r="G142" s="61"/>
    </row>
    <row r="143" spans="1:7" ht="15.75" customHeight="1" x14ac:dyDescent="0.3">
      <c r="A143" s="61"/>
      <c r="B143" s="61"/>
      <c r="C143" s="61"/>
      <c r="E143" s="61"/>
      <c r="G143" s="61"/>
    </row>
    <row r="144" spans="1:7" ht="15.75" customHeight="1" x14ac:dyDescent="0.3">
      <c r="A144" s="61"/>
      <c r="B144" s="61"/>
      <c r="C144" s="61"/>
      <c r="E144" s="61"/>
      <c r="G144" s="61"/>
    </row>
    <row r="145" spans="1:7" ht="15.75" customHeight="1" x14ac:dyDescent="0.3">
      <c r="A145" s="61"/>
      <c r="B145" s="61"/>
      <c r="C145" s="61"/>
      <c r="E145" s="61"/>
      <c r="G145" s="61"/>
    </row>
    <row r="146" spans="1:7" ht="15.75" customHeight="1" x14ac:dyDescent="0.3">
      <c r="A146" s="61"/>
      <c r="B146" s="61"/>
      <c r="C146" s="61"/>
      <c r="E146" s="61"/>
      <c r="G146" s="61"/>
    </row>
    <row r="147" spans="1:7" ht="15.75" customHeight="1" x14ac:dyDescent="0.3">
      <c r="A147" s="61"/>
      <c r="B147" s="61"/>
      <c r="C147" s="61"/>
      <c r="E147" s="61"/>
      <c r="G147" s="61"/>
    </row>
    <row r="148" spans="1:7" ht="15.75" customHeight="1" x14ac:dyDescent="0.3">
      <c r="A148" s="61"/>
      <c r="B148" s="61"/>
      <c r="C148" s="61"/>
      <c r="E148" s="61"/>
      <c r="G148" s="61"/>
    </row>
    <row r="149" spans="1:7" ht="15.75" customHeight="1" x14ac:dyDescent="0.3">
      <c r="A149" s="61"/>
      <c r="B149" s="61"/>
      <c r="C149" s="61"/>
      <c r="E149" s="61"/>
      <c r="G149" s="61"/>
    </row>
    <row r="150" spans="1:7" ht="15.75" customHeight="1" x14ac:dyDescent="0.3">
      <c r="A150" s="61"/>
      <c r="B150" s="61"/>
      <c r="C150" s="61"/>
      <c r="E150" s="61"/>
      <c r="G150" s="61"/>
    </row>
    <row r="151" spans="1:7" ht="15.75" customHeight="1" x14ac:dyDescent="0.3">
      <c r="A151" s="61"/>
      <c r="B151" s="61"/>
      <c r="C151" s="61"/>
      <c r="E151" s="61"/>
      <c r="G151" s="61"/>
    </row>
    <row r="152" spans="1:7" ht="15.75" customHeight="1" x14ac:dyDescent="0.3">
      <c r="A152" s="61"/>
      <c r="B152" s="61"/>
      <c r="C152" s="61"/>
      <c r="E152" s="61"/>
      <c r="G152" s="61"/>
    </row>
    <row r="153" spans="1:7" ht="15.75" customHeight="1" x14ac:dyDescent="0.3">
      <c r="A153" s="61"/>
      <c r="B153" s="61"/>
      <c r="C153" s="61"/>
      <c r="E153" s="61"/>
      <c r="G153" s="61"/>
    </row>
    <row r="154" spans="1:7" ht="15.75" customHeight="1" x14ac:dyDescent="0.3">
      <c r="A154" s="61"/>
      <c r="B154" s="61"/>
      <c r="C154" s="61"/>
      <c r="E154" s="61"/>
      <c r="G154" s="61"/>
    </row>
    <row r="155" spans="1:7" ht="15.75" customHeight="1" x14ac:dyDescent="0.3">
      <c r="A155" s="61"/>
      <c r="B155" s="61"/>
      <c r="C155" s="61"/>
      <c r="E155" s="61"/>
      <c r="G155" s="61"/>
    </row>
    <row r="156" spans="1:7" ht="15.75" customHeight="1" x14ac:dyDescent="0.3">
      <c r="A156" s="61"/>
      <c r="B156" s="61"/>
      <c r="C156" s="61"/>
      <c r="E156" s="61"/>
      <c r="G156" s="61"/>
    </row>
    <row r="157" spans="1:7" ht="15.75" customHeight="1" x14ac:dyDescent="0.3">
      <c r="A157" s="61"/>
      <c r="B157" s="61"/>
      <c r="C157" s="61"/>
      <c r="E157" s="61"/>
      <c r="G157" s="61"/>
    </row>
    <row r="158" spans="1:7" ht="15.75" customHeight="1" x14ac:dyDescent="0.3">
      <c r="A158" s="61"/>
      <c r="B158" s="61"/>
      <c r="C158" s="61"/>
      <c r="E158" s="61"/>
      <c r="G158" s="61"/>
    </row>
    <row r="159" spans="1:7" ht="15.75" customHeight="1" x14ac:dyDescent="0.3">
      <c r="A159" s="61"/>
      <c r="B159" s="61"/>
      <c r="C159" s="61"/>
      <c r="E159" s="61"/>
      <c r="G159" s="61"/>
    </row>
    <row r="160" spans="1:7" ht="15.75" customHeight="1" x14ac:dyDescent="0.3">
      <c r="A160" s="61"/>
      <c r="B160" s="61"/>
      <c r="C160" s="61"/>
      <c r="E160" s="61"/>
      <c r="G160" s="61"/>
    </row>
    <row r="161" spans="1:7" ht="15.75" customHeight="1" x14ac:dyDescent="0.3">
      <c r="A161" s="61"/>
      <c r="B161" s="61"/>
      <c r="C161" s="61"/>
      <c r="E161" s="61"/>
      <c r="G161" s="61"/>
    </row>
    <row r="162" spans="1:7" ht="15.75" customHeight="1" x14ac:dyDescent="0.3">
      <c r="A162" s="61"/>
      <c r="B162" s="61"/>
      <c r="C162" s="61"/>
      <c r="E162" s="61"/>
      <c r="G162" s="61"/>
    </row>
    <row r="163" spans="1:7" ht="15.75" customHeight="1" x14ac:dyDescent="0.3">
      <c r="A163" s="61"/>
      <c r="B163" s="61"/>
      <c r="C163" s="61"/>
      <c r="E163" s="61"/>
      <c r="G163" s="61"/>
    </row>
    <row r="164" spans="1:7" ht="15.75" customHeight="1" x14ac:dyDescent="0.3">
      <c r="A164" s="61"/>
      <c r="B164" s="61"/>
      <c r="C164" s="61"/>
      <c r="E164" s="61"/>
      <c r="G164" s="61"/>
    </row>
    <row r="165" spans="1:7" ht="15.75" customHeight="1" x14ac:dyDescent="0.3">
      <c r="A165" s="61"/>
      <c r="B165" s="61"/>
      <c r="C165" s="61"/>
      <c r="E165" s="61"/>
      <c r="G165" s="61"/>
    </row>
    <row r="166" spans="1:7" ht="15.75" customHeight="1" x14ac:dyDescent="0.3">
      <c r="A166" s="61"/>
      <c r="B166" s="61"/>
      <c r="C166" s="61"/>
      <c r="E166" s="61"/>
      <c r="G166" s="61"/>
    </row>
    <row r="167" spans="1:7" ht="15.75" customHeight="1" x14ac:dyDescent="0.3">
      <c r="A167" s="61"/>
      <c r="B167" s="61"/>
      <c r="C167" s="61"/>
      <c r="E167" s="61"/>
      <c r="G167" s="61"/>
    </row>
    <row r="168" spans="1:7" ht="15.75" customHeight="1" x14ac:dyDescent="0.3">
      <c r="A168" s="61"/>
      <c r="B168" s="61"/>
      <c r="C168" s="61"/>
      <c r="E168" s="61"/>
      <c r="G168" s="61"/>
    </row>
    <row r="169" spans="1:7" ht="15.75" customHeight="1" x14ac:dyDescent="0.3">
      <c r="A169" s="61"/>
      <c r="B169" s="61"/>
      <c r="C169" s="61"/>
      <c r="E169" s="61"/>
      <c r="G169" s="61"/>
    </row>
    <row r="170" spans="1:7" ht="15.75" customHeight="1" x14ac:dyDescent="0.3">
      <c r="A170" s="61"/>
      <c r="B170" s="61"/>
      <c r="C170" s="61"/>
      <c r="E170" s="61"/>
      <c r="G170" s="61"/>
    </row>
    <row r="171" spans="1:7" ht="15.75" customHeight="1" x14ac:dyDescent="0.3">
      <c r="A171" s="61"/>
      <c r="B171" s="61"/>
      <c r="C171" s="61"/>
      <c r="E171" s="61"/>
      <c r="G171" s="61"/>
    </row>
    <row r="172" spans="1:7" ht="15.75" customHeight="1" x14ac:dyDescent="0.3">
      <c r="A172" s="61"/>
      <c r="B172" s="61"/>
      <c r="C172" s="61"/>
      <c r="E172" s="61"/>
      <c r="G172" s="61"/>
    </row>
    <row r="173" spans="1:7" ht="15.75" customHeight="1" x14ac:dyDescent="0.3">
      <c r="A173" s="61"/>
      <c r="B173" s="61"/>
      <c r="C173" s="61"/>
      <c r="E173" s="61"/>
      <c r="G173" s="61"/>
    </row>
    <row r="174" spans="1:7" ht="15.75" customHeight="1" x14ac:dyDescent="0.3">
      <c r="A174" s="61"/>
      <c r="B174" s="61"/>
      <c r="C174" s="61"/>
      <c r="E174" s="61"/>
      <c r="G174" s="61"/>
    </row>
    <row r="175" spans="1:7" ht="15.75" customHeight="1" x14ac:dyDescent="0.3">
      <c r="A175" s="61"/>
      <c r="B175" s="61"/>
      <c r="C175" s="61"/>
      <c r="E175" s="61"/>
      <c r="G175" s="61"/>
    </row>
    <row r="176" spans="1:7" ht="15.75" customHeight="1" x14ac:dyDescent="0.3">
      <c r="A176" s="61"/>
      <c r="B176" s="61"/>
      <c r="C176" s="61"/>
      <c r="E176" s="61"/>
      <c r="G176" s="61"/>
    </row>
    <row r="177" spans="1:7" ht="15.75" customHeight="1" x14ac:dyDescent="0.3">
      <c r="A177" s="61"/>
      <c r="B177" s="61"/>
      <c r="C177" s="61"/>
      <c r="E177" s="61"/>
      <c r="G177" s="61"/>
    </row>
    <row r="178" spans="1:7" ht="15.75" customHeight="1" x14ac:dyDescent="0.3">
      <c r="A178" s="61"/>
      <c r="B178" s="61"/>
      <c r="C178" s="61"/>
      <c r="E178" s="61"/>
      <c r="G178" s="61"/>
    </row>
    <row r="179" spans="1:7" ht="15.75" customHeight="1" x14ac:dyDescent="0.3">
      <c r="A179" s="61"/>
      <c r="B179" s="61"/>
      <c r="C179" s="61"/>
      <c r="E179" s="61"/>
      <c r="G179" s="61"/>
    </row>
    <row r="180" spans="1:7" ht="15.75" customHeight="1" x14ac:dyDescent="0.3">
      <c r="A180" s="61"/>
      <c r="B180" s="61"/>
      <c r="C180" s="61"/>
      <c r="E180" s="61"/>
      <c r="G180" s="61"/>
    </row>
    <row r="181" spans="1:7" ht="15.75" customHeight="1" x14ac:dyDescent="0.3">
      <c r="A181" s="61"/>
      <c r="B181" s="61"/>
      <c r="C181" s="61"/>
      <c r="E181" s="61"/>
      <c r="G181" s="61"/>
    </row>
    <row r="182" spans="1:7" ht="15.75" customHeight="1" x14ac:dyDescent="0.3">
      <c r="A182" s="61"/>
      <c r="B182" s="61"/>
      <c r="C182" s="61"/>
      <c r="E182" s="61"/>
      <c r="G182" s="61"/>
    </row>
    <row r="183" spans="1:7" ht="15.75" customHeight="1" x14ac:dyDescent="0.3">
      <c r="A183" s="61"/>
      <c r="B183" s="61"/>
      <c r="C183" s="61"/>
      <c r="E183" s="61"/>
      <c r="G183" s="61"/>
    </row>
    <row r="184" spans="1:7" ht="15.75" customHeight="1" x14ac:dyDescent="0.3">
      <c r="A184" s="61"/>
      <c r="B184" s="61"/>
      <c r="C184" s="61"/>
      <c r="E184" s="61"/>
      <c r="G184" s="61"/>
    </row>
    <row r="185" spans="1:7" ht="15.75" customHeight="1" x14ac:dyDescent="0.3">
      <c r="A185" s="61"/>
      <c r="B185" s="61"/>
      <c r="C185" s="61"/>
      <c r="E185" s="61"/>
      <c r="G185" s="61"/>
    </row>
    <row r="186" spans="1:7" ht="15.75" customHeight="1" x14ac:dyDescent="0.3">
      <c r="A186" s="61"/>
      <c r="B186" s="61"/>
      <c r="C186" s="61"/>
      <c r="E186" s="61"/>
      <c r="G186" s="61"/>
    </row>
    <row r="187" spans="1:7" ht="15.75" customHeight="1" x14ac:dyDescent="0.3">
      <c r="A187" s="61"/>
      <c r="B187" s="61"/>
      <c r="C187" s="61"/>
      <c r="E187" s="61"/>
      <c r="G187" s="61"/>
    </row>
    <row r="188" spans="1:7" ht="15.75" customHeight="1" x14ac:dyDescent="0.3">
      <c r="A188" s="61"/>
      <c r="B188" s="61"/>
      <c r="C188" s="61"/>
      <c r="E188" s="61"/>
      <c r="G188" s="61"/>
    </row>
    <row r="189" spans="1:7" ht="15.75" customHeight="1" x14ac:dyDescent="0.3">
      <c r="A189" s="61"/>
      <c r="B189" s="61"/>
      <c r="C189" s="61"/>
      <c r="E189" s="61"/>
      <c r="G189" s="61"/>
    </row>
    <row r="190" spans="1:7" ht="15.75" customHeight="1" x14ac:dyDescent="0.3">
      <c r="A190" s="61"/>
      <c r="B190" s="61"/>
      <c r="C190" s="61"/>
      <c r="E190" s="61"/>
      <c r="G190" s="61"/>
    </row>
    <row r="191" spans="1:7" ht="15.75" customHeight="1" x14ac:dyDescent="0.3">
      <c r="A191" s="61"/>
      <c r="B191" s="61"/>
      <c r="C191" s="61"/>
      <c r="E191" s="61"/>
      <c r="G191" s="61"/>
    </row>
    <row r="192" spans="1:7" ht="15.75" customHeight="1" x14ac:dyDescent="0.3">
      <c r="A192" s="61"/>
      <c r="B192" s="61"/>
      <c r="C192" s="61"/>
      <c r="E192" s="61"/>
      <c r="G192" s="61"/>
    </row>
    <row r="193" spans="1:7" ht="15.75" customHeight="1" x14ac:dyDescent="0.3">
      <c r="A193" s="61"/>
      <c r="B193" s="61"/>
      <c r="C193" s="61"/>
      <c r="E193" s="61"/>
      <c r="G193" s="61"/>
    </row>
    <row r="194" spans="1:7" ht="15.75" customHeight="1" x14ac:dyDescent="0.3">
      <c r="A194" s="61"/>
      <c r="B194" s="61"/>
      <c r="C194" s="61"/>
      <c r="E194" s="61"/>
      <c r="G194" s="61"/>
    </row>
    <row r="195" spans="1:7" ht="15.75" customHeight="1" x14ac:dyDescent="0.3">
      <c r="A195" s="61"/>
      <c r="B195" s="61"/>
      <c r="C195" s="61"/>
      <c r="E195" s="61"/>
      <c r="G195" s="61"/>
    </row>
    <row r="196" spans="1:7" ht="15.75" customHeight="1" x14ac:dyDescent="0.3">
      <c r="A196" s="61"/>
      <c r="B196" s="61"/>
      <c r="C196" s="61"/>
      <c r="E196" s="61"/>
      <c r="G196" s="61"/>
    </row>
    <row r="197" spans="1:7" ht="15.75" customHeight="1" x14ac:dyDescent="0.3">
      <c r="A197" s="61"/>
      <c r="B197" s="61"/>
      <c r="C197" s="61"/>
      <c r="E197" s="61"/>
      <c r="G197" s="61"/>
    </row>
    <row r="198" spans="1:7" ht="15.75" customHeight="1" x14ac:dyDescent="0.3">
      <c r="A198" s="61"/>
      <c r="B198" s="61"/>
      <c r="C198" s="61"/>
      <c r="E198" s="61"/>
      <c r="G198" s="61"/>
    </row>
    <row r="199" spans="1:7" ht="15.75" customHeight="1" x14ac:dyDescent="0.3">
      <c r="A199" s="61"/>
      <c r="B199" s="61"/>
      <c r="C199" s="61"/>
      <c r="E199" s="61"/>
      <c r="G199" s="61"/>
    </row>
    <row r="200" spans="1:7" ht="15.75" customHeight="1" x14ac:dyDescent="0.3">
      <c r="A200" s="61"/>
      <c r="B200" s="61"/>
      <c r="C200" s="61"/>
      <c r="E200" s="61"/>
      <c r="G200" s="61"/>
    </row>
    <row r="201" spans="1:7" ht="15.75" customHeight="1" x14ac:dyDescent="0.3">
      <c r="A201" s="61"/>
      <c r="B201" s="61"/>
      <c r="C201" s="61"/>
      <c r="E201" s="61"/>
      <c r="G201" s="61"/>
    </row>
    <row r="202" spans="1:7" ht="15.75" customHeight="1" x14ac:dyDescent="0.3">
      <c r="A202" s="61"/>
      <c r="B202" s="61"/>
      <c r="C202" s="61"/>
      <c r="E202" s="61"/>
      <c r="G202" s="61"/>
    </row>
    <row r="203" spans="1:7" ht="15.75" customHeight="1" x14ac:dyDescent="0.3">
      <c r="A203" s="61"/>
      <c r="B203" s="61"/>
      <c r="C203" s="61"/>
      <c r="E203" s="61"/>
      <c r="G203" s="61"/>
    </row>
    <row r="204" spans="1:7" ht="15.75" customHeight="1" x14ac:dyDescent="0.3">
      <c r="A204" s="61"/>
      <c r="B204" s="61"/>
      <c r="C204" s="61"/>
      <c r="E204" s="61"/>
      <c r="G204" s="61"/>
    </row>
    <row r="205" spans="1:7" ht="15.75" customHeight="1" x14ac:dyDescent="0.3">
      <c r="A205" s="61"/>
      <c r="B205" s="61"/>
      <c r="C205" s="61"/>
      <c r="E205" s="61"/>
      <c r="G205" s="61"/>
    </row>
    <row r="206" spans="1:7" ht="15.75" customHeight="1" x14ac:dyDescent="0.3">
      <c r="A206" s="61"/>
      <c r="B206" s="61"/>
      <c r="C206" s="61"/>
      <c r="E206" s="61"/>
      <c r="G206" s="61"/>
    </row>
    <row r="207" spans="1:7" ht="15.75" customHeight="1" x14ac:dyDescent="0.3">
      <c r="A207" s="61"/>
      <c r="B207" s="61"/>
      <c r="C207" s="61"/>
      <c r="E207" s="61"/>
      <c r="G207" s="61"/>
    </row>
    <row r="208" spans="1:7" ht="15.75" customHeight="1" x14ac:dyDescent="0.3">
      <c r="A208" s="61"/>
      <c r="B208" s="61"/>
      <c r="C208" s="61"/>
      <c r="E208" s="61"/>
      <c r="G208" s="61"/>
    </row>
    <row r="209" spans="1:7" ht="15.75" customHeight="1" x14ac:dyDescent="0.3">
      <c r="A209" s="61"/>
      <c r="B209" s="61"/>
      <c r="C209" s="61"/>
      <c r="E209" s="61"/>
      <c r="G209" s="61"/>
    </row>
    <row r="210" spans="1:7" ht="15.75" customHeight="1" x14ac:dyDescent="0.3">
      <c r="A210" s="61"/>
      <c r="B210" s="61"/>
      <c r="C210" s="61"/>
      <c r="E210" s="61"/>
      <c r="G210" s="61"/>
    </row>
    <row r="211" spans="1:7" ht="15.75" customHeight="1" x14ac:dyDescent="0.3">
      <c r="A211" s="61"/>
      <c r="B211" s="61"/>
      <c r="C211" s="61"/>
      <c r="E211" s="61"/>
      <c r="G211" s="61"/>
    </row>
    <row r="212" spans="1:7" ht="15.75" customHeight="1" x14ac:dyDescent="0.3">
      <c r="A212" s="61"/>
      <c r="B212" s="61"/>
      <c r="C212" s="61"/>
      <c r="E212" s="61"/>
      <c r="G212" s="61"/>
    </row>
    <row r="213" spans="1:7" ht="15.75" customHeight="1" x14ac:dyDescent="0.3">
      <c r="A213" s="61"/>
      <c r="B213" s="61"/>
      <c r="C213" s="61"/>
      <c r="E213" s="61"/>
      <c r="G213" s="61"/>
    </row>
    <row r="214" spans="1:7" ht="15.75" customHeight="1" x14ac:dyDescent="0.3">
      <c r="A214" s="61"/>
      <c r="B214" s="61"/>
      <c r="C214" s="61"/>
      <c r="E214" s="61"/>
      <c r="G214" s="61"/>
    </row>
    <row r="215" spans="1:7" ht="15.75" customHeight="1" x14ac:dyDescent="0.3">
      <c r="A215" s="61"/>
      <c r="B215" s="61"/>
      <c r="C215" s="61"/>
      <c r="E215" s="61"/>
      <c r="G215" s="61"/>
    </row>
    <row r="216" spans="1:7" ht="15.75" customHeight="1" x14ac:dyDescent="0.3">
      <c r="A216" s="61"/>
      <c r="B216" s="61"/>
      <c r="C216" s="61"/>
      <c r="E216" s="61"/>
      <c r="G216" s="61"/>
    </row>
    <row r="217" spans="1:7" ht="15.75" customHeight="1" x14ac:dyDescent="0.3">
      <c r="A217" s="61"/>
      <c r="B217" s="61"/>
      <c r="C217" s="61"/>
      <c r="E217" s="61"/>
      <c r="G217" s="61"/>
    </row>
    <row r="218" spans="1:7" ht="15.75" customHeight="1" x14ac:dyDescent="0.3">
      <c r="A218" s="61"/>
      <c r="B218" s="61"/>
      <c r="C218" s="61"/>
      <c r="E218" s="61"/>
      <c r="G218" s="61"/>
    </row>
    <row r="219" spans="1:7" ht="15.75" customHeight="1" x14ac:dyDescent="0.3">
      <c r="A219" s="61"/>
      <c r="B219" s="61"/>
      <c r="C219" s="61"/>
      <c r="E219" s="61"/>
      <c r="G219" s="61"/>
    </row>
    <row r="220" spans="1:7" ht="15.75" customHeight="1" x14ac:dyDescent="0.3">
      <c r="A220" s="61"/>
      <c r="B220" s="61"/>
      <c r="C220" s="61"/>
      <c r="E220" s="61"/>
      <c r="G220" s="61"/>
    </row>
    <row r="221" spans="1:7" ht="15.75" customHeight="1" x14ac:dyDescent="0.3">
      <c r="A221" s="61"/>
      <c r="B221" s="61"/>
      <c r="C221" s="61"/>
      <c r="E221" s="61"/>
      <c r="G221" s="61"/>
    </row>
    <row r="222" spans="1:7" ht="15.75" customHeight="1" x14ac:dyDescent="0.3">
      <c r="A222" s="61"/>
      <c r="B222" s="61"/>
      <c r="C222" s="61"/>
      <c r="E222" s="61"/>
      <c r="G222" s="61"/>
    </row>
    <row r="223" spans="1:7" ht="15.75" customHeight="1" x14ac:dyDescent="0.3">
      <c r="A223" s="61"/>
      <c r="B223" s="61"/>
      <c r="C223" s="61"/>
      <c r="E223" s="61"/>
      <c r="G223" s="61"/>
    </row>
    <row r="224" spans="1:7" ht="15.75" customHeight="1" x14ac:dyDescent="0.3">
      <c r="A224" s="61"/>
      <c r="B224" s="61"/>
      <c r="C224" s="61"/>
      <c r="E224" s="61"/>
      <c r="G224" s="61"/>
    </row>
    <row r="225" spans="1:7" ht="15.75" customHeight="1" x14ac:dyDescent="0.3">
      <c r="A225" s="61"/>
      <c r="B225" s="61"/>
      <c r="C225" s="61"/>
      <c r="E225" s="61"/>
      <c r="G225" s="61"/>
    </row>
    <row r="226" spans="1:7" ht="15.75" customHeight="1" x14ac:dyDescent="0.3">
      <c r="A226" s="61"/>
      <c r="B226" s="61"/>
      <c r="C226" s="61"/>
      <c r="E226" s="61"/>
      <c r="G226" s="61"/>
    </row>
    <row r="227" spans="1:7" ht="15.75" customHeight="1" x14ac:dyDescent="0.3">
      <c r="A227" s="61"/>
      <c r="B227" s="61"/>
      <c r="C227" s="61"/>
      <c r="E227" s="61"/>
      <c r="G227" s="61"/>
    </row>
    <row r="228" spans="1:7" ht="15.75" customHeight="1" x14ac:dyDescent="0.3">
      <c r="A228" s="61"/>
      <c r="B228" s="61"/>
      <c r="C228" s="61"/>
      <c r="E228" s="61"/>
      <c r="G228" s="61"/>
    </row>
    <row r="229" spans="1:7" ht="15.75" customHeight="1" x14ac:dyDescent="0.3">
      <c r="A229" s="61"/>
      <c r="B229" s="61"/>
      <c r="C229" s="61"/>
      <c r="E229" s="61"/>
      <c r="G229" s="61"/>
    </row>
    <row r="230" spans="1:7" ht="15.75" customHeight="1" x14ac:dyDescent="0.3">
      <c r="A230" s="61"/>
      <c r="B230" s="61"/>
      <c r="C230" s="61"/>
      <c r="E230" s="61"/>
      <c r="G230" s="61"/>
    </row>
    <row r="231" spans="1:7" ht="15.75" customHeight="1" x14ac:dyDescent="0.3">
      <c r="A231" s="61"/>
      <c r="B231" s="61"/>
      <c r="C231" s="61"/>
      <c r="E231" s="61"/>
      <c r="G231" s="61"/>
    </row>
    <row r="232" spans="1:7" ht="15.75" customHeight="1" x14ac:dyDescent="0.3">
      <c r="A232" s="61"/>
      <c r="B232" s="61"/>
      <c r="C232" s="61"/>
      <c r="E232" s="61"/>
      <c r="G232" s="61"/>
    </row>
    <row r="233" spans="1:7" ht="15.75" customHeight="1" x14ac:dyDescent="0.3">
      <c r="A233" s="61"/>
      <c r="B233" s="61"/>
      <c r="C233" s="61"/>
      <c r="E233" s="61"/>
      <c r="G233" s="61"/>
    </row>
    <row r="234" spans="1:7" ht="15.75" customHeight="1" x14ac:dyDescent="0.3">
      <c r="A234" s="61"/>
      <c r="B234" s="61"/>
      <c r="C234" s="61"/>
      <c r="E234" s="61"/>
      <c r="G234" s="61"/>
    </row>
    <row r="235" spans="1:7" ht="15.75" customHeight="1" x14ac:dyDescent="0.3">
      <c r="A235" s="61"/>
      <c r="B235" s="61"/>
      <c r="C235" s="61"/>
      <c r="E235" s="61"/>
      <c r="G235" s="61"/>
    </row>
    <row r="236" spans="1:7" ht="15.75" customHeight="1" x14ac:dyDescent="0.3">
      <c r="A236" s="61"/>
      <c r="B236" s="61"/>
      <c r="C236" s="61"/>
      <c r="E236" s="61"/>
      <c r="G236" s="61"/>
    </row>
    <row r="237" spans="1:7" ht="15.75" customHeight="1" x14ac:dyDescent="0.3">
      <c r="A237" s="61"/>
      <c r="B237" s="61"/>
      <c r="C237" s="61"/>
      <c r="E237" s="61"/>
      <c r="G237" s="61"/>
    </row>
    <row r="238" spans="1:7" ht="15.75" customHeight="1" x14ac:dyDescent="0.3">
      <c r="A238" s="61"/>
      <c r="B238" s="61"/>
      <c r="C238" s="61"/>
      <c r="E238" s="61"/>
      <c r="G238" s="61"/>
    </row>
    <row r="239" spans="1:7" ht="15.75" customHeight="1" x14ac:dyDescent="0.3">
      <c r="A239" s="61"/>
      <c r="B239" s="61"/>
      <c r="C239" s="61"/>
      <c r="E239" s="61"/>
      <c r="G239" s="61"/>
    </row>
    <row r="240" spans="1:7" ht="15.75" customHeight="1" x14ac:dyDescent="0.3">
      <c r="A240" s="61"/>
      <c r="B240" s="61"/>
      <c r="C240" s="61"/>
      <c r="E240" s="61"/>
      <c r="G240" s="61"/>
    </row>
    <row r="241" spans="1:7" ht="15.75" customHeight="1" x14ac:dyDescent="0.3">
      <c r="A241" s="61"/>
      <c r="B241" s="61"/>
      <c r="C241" s="61"/>
      <c r="E241" s="61"/>
      <c r="G241" s="61"/>
    </row>
    <row r="242" spans="1:7" ht="15.75" customHeight="1" x14ac:dyDescent="0.3">
      <c r="A242" s="61"/>
      <c r="B242" s="61"/>
      <c r="C242" s="61"/>
      <c r="E242" s="61"/>
      <c r="G242" s="61"/>
    </row>
    <row r="243" spans="1:7" ht="15.75" customHeight="1" x14ac:dyDescent="0.3">
      <c r="A243" s="61"/>
      <c r="B243" s="61"/>
      <c r="C243" s="61"/>
      <c r="E243" s="61"/>
      <c r="G243" s="61"/>
    </row>
    <row r="244" spans="1:7" ht="15.75" customHeight="1" x14ac:dyDescent="0.3">
      <c r="A244" s="61"/>
      <c r="B244" s="61"/>
      <c r="C244" s="61"/>
      <c r="E244" s="61"/>
      <c r="G244" s="61"/>
    </row>
    <row r="245" spans="1:7" ht="15.75" customHeight="1" x14ac:dyDescent="0.3">
      <c r="A245" s="61"/>
      <c r="B245" s="61"/>
      <c r="C245" s="61"/>
      <c r="E245" s="61"/>
      <c r="G245" s="61"/>
    </row>
    <row r="246" spans="1:7" ht="15.75" customHeight="1" x14ac:dyDescent="0.3">
      <c r="A246" s="61"/>
      <c r="B246" s="61"/>
      <c r="C246" s="61"/>
      <c r="E246" s="61"/>
      <c r="G246" s="61"/>
    </row>
    <row r="247" spans="1:7" ht="15.75" customHeight="1" x14ac:dyDescent="0.3">
      <c r="A247" s="61"/>
      <c r="B247" s="61"/>
      <c r="C247" s="61"/>
      <c r="E247" s="61"/>
      <c r="G247" s="61"/>
    </row>
    <row r="248" spans="1:7" ht="15.75" customHeight="1" x14ac:dyDescent="0.3">
      <c r="A248" s="61"/>
      <c r="B248" s="61"/>
      <c r="C248" s="61"/>
      <c r="E248" s="61"/>
      <c r="G248" s="61"/>
    </row>
    <row r="249" spans="1:7" ht="15.75" customHeight="1" x14ac:dyDescent="0.3">
      <c r="A249" s="61"/>
      <c r="B249" s="61"/>
      <c r="C249" s="61"/>
      <c r="E249" s="61"/>
      <c r="G249" s="61"/>
    </row>
    <row r="250" spans="1:7" ht="15.75" customHeight="1" x14ac:dyDescent="0.3">
      <c r="A250" s="61"/>
      <c r="B250" s="61"/>
      <c r="C250" s="61"/>
      <c r="E250" s="61"/>
      <c r="G250" s="61"/>
    </row>
    <row r="251" spans="1:7" ht="15.75" customHeight="1" x14ac:dyDescent="0.3">
      <c r="A251" s="61"/>
      <c r="B251" s="61"/>
      <c r="C251" s="61"/>
      <c r="E251" s="61"/>
      <c r="G251" s="61"/>
    </row>
    <row r="252" spans="1:7" ht="15.75" customHeight="1" x14ac:dyDescent="0.3">
      <c r="A252" s="61"/>
      <c r="B252" s="61"/>
      <c r="C252" s="61"/>
      <c r="E252" s="61"/>
      <c r="G252" s="61"/>
    </row>
    <row r="253" spans="1:7" ht="15.75" customHeight="1" x14ac:dyDescent="0.3">
      <c r="A253" s="61"/>
      <c r="B253" s="61"/>
      <c r="C253" s="61"/>
      <c r="E253" s="61"/>
      <c r="G253" s="61"/>
    </row>
    <row r="254" spans="1:7" ht="15.75" customHeight="1" x14ac:dyDescent="0.3">
      <c r="A254" s="61"/>
      <c r="B254" s="61"/>
      <c r="C254" s="61"/>
      <c r="E254" s="61"/>
      <c r="G254" s="61"/>
    </row>
    <row r="255" spans="1:7" ht="15.75" customHeight="1" x14ac:dyDescent="0.3">
      <c r="A255" s="61"/>
      <c r="B255" s="61"/>
      <c r="C255" s="61"/>
      <c r="E255" s="61"/>
      <c r="G255" s="61"/>
    </row>
    <row r="256" spans="1:7" ht="15.75" customHeight="1" x14ac:dyDescent="0.3">
      <c r="A256" s="61"/>
      <c r="B256" s="61"/>
      <c r="C256" s="61"/>
      <c r="E256" s="61"/>
      <c r="G256" s="61"/>
    </row>
    <row r="257" spans="1:7" ht="15.75" customHeight="1" x14ac:dyDescent="0.3">
      <c r="A257" s="61"/>
      <c r="B257" s="61"/>
      <c r="C257" s="61"/>
      <c r="E257" s="61"/>
      <c r="G257" s="61"/>
    </row>
    <row r="258" spans="1:7" ht="15.75" customHeight="1" x14ac:dyDescent="0.3">
      <c r="A258" s="61"/>
      <c r="B258" s="61"/>
      <c r="C258" s="61"/>
      <c r="E258" s="61"/>
      <c r="G258" s="61"/>
    </row>
    <row r="259" spans="1:7" ht="15.75" customHeight="1" x14ac:dyDescent="0.3">
      <c r="A259" s="61"/>
      <c r="B259" s="61"/>
      <c r="C259" s="61"/>
      <c r="E259" s="61"/>
      <c r="G259" s="61"/>
    </row>
    <row r="260" spans="1:7" ht="15.75" customHeight="1" x14ac:dyDescent="0.3">
      <c r="A260" s="61"/>
      <c r="B260" s="61"/>
      <c r="C260" s="61"/>
      <c r="E260" s="61"/>
      <c r="G260" s="61"/>
    </row>
    <row r="261" spans="1:7" ht="15.75" customHeight="1" x14ac:dyDescent="0.3">
      <c r="A261" s="61"/>
      <c r="B261" s="61"/>
      <c r="C261" s="61"/>
      <c r="E261" s="61"/>
      <c r="G261" s="61"/>
    </row>
    <row r="262" spans="1:7" ht="15.75" customHeight="1" x14ac:dyDescent="0.3">
      <c r="A262" s="61"/>
      <c r="B262" s="61"/>
      <c r="C262" s="61"/>
      <c r="E262" s="61"/>
      <c r="G262" s="61"/>
    </row>
    <row r="263" spans="1:7" ht="15.75" customHeight="1" x14ac:dyDescent="0.3">
      <c r="A263" s="61"/>
      <c r="B263" s="61"/>
      <c r="C263" s="61"/>
      <c r="E263" s="61"/>
      <c r="G263" s="61"/>
    </row>
    <row r="264" spans="1:7" ht="15.75" customHeight="1" x14ac:dyDescent="0.3">
      <c r="A264" s="61"/>
      <c r="B264" s="61"/>
      <c r="C264" s="61"/>
      <c r="E264" s="61"/>
      <c r="G264" s="61"/>
    </row>
    <row r="265" spans="1:7" ht="15.75" customHeight="1" x14ac:dyDescent="0.3">
      <c r="A265" s="61"/>
      <c r="B265" s="61"/>
      <c r="C265" s="61"/>
      <c r="E265" s="61"/>
      <c r="G265" s="61"/>
    </row>
    <row r="266" spans="1:7" ht="15.75" customHeight="1" x14ac:dyDescent="0.3">
      <c r="A266" s="61"/>
      <c r="B266" s="61"/>
      <c r="C266" s="61"/>
      <c r="E266" s="61"/>
      <c r="G266" s="61"/>
    </row>
    <row r="267" spans="1:7" ht="15.75" customHeight="1" x14ac:dyDescent="0.3">
      <c r="A267" s="61"/>
      <c r="B267" s="61"/>
      <c r="C267" s="61"/>
      <c r="E267" s="61"/>
      <c r="G267" s="61"/>
    </row>
    <row r="268" spans="1:7" ht="15.75" customHeight="1" x14ac:dyDescent="0.3">
      <c r="A268" s="61"/>
      <c r="B268" s="61"/>
      <c r="C268" s="61"/>
      <c r="E268" s="61"/>
      <c r="G268" s="61"/>
    </row>
    <row r="269" spans="1:7" ht="15.75" customHeight="1" x14ac:dyDescent="0.3">
      <c r="A269" s="61"/>
      <c r="B269" s="61"/>
      <c r="C269" s="61"/>
      <c r="E269" s="61"/>
      <c r="G269" s="61"/>
    </row>
    <row r="270" spans="1:7" ht="15.75" customHeight="1" x14ac:dyDescent="0.3">
      <c r="A270" s="61"/>
      <c r="B270" s="61"/>
      <c r="C270" s="61"/>
      <c r="E270" s="61"/>
      <c r="G270" s="61"/>
    </row>
    <row r="271" spans="1:7" ht="15.75" customHeight="1" x14ac:dyDescent="0.3">
      <c r="A271" s="61"/>
      <c r="B271" s="61"/>
      <c r="C271" s="61"/>
      <c r="E271" s="61"/>
      <c r="G271" s="61"/>
    </row>
    <row r="272" spans="1:7" ht="15.75" customHeight="1" x14ac:dyDescent="0.3">
      <c r="A272" s="61"/>
      <c r="B272" s="61"/>
      <c r="C272" s="61"/>
      <c r="E272" s="61"/>
      <c r="G272" s="61"/>
    </row>
    <row r="273" spans="1:7" ht="15.75" customHeight="1" x14ac:dyDescent="0.3">
      <c r="A273" s="61"/>
      <c r="B273" s="61"/>
      <c r="C273" s="61"/>
      <c r="E273" s="61"/>
      <c r="G273" s="61"/>
    </row>
    <row r="274" spans="1:7" ht="15.75" customHeight="1" x14ac:dyDescent="0.3">
      <c r="A274" s="61"/>
      <c r="B274" s="61"/>
      <c r="C274" s="61"/>
      <c r="E274" s="61"/>
      <c r="G274" s="61"/>
    </row>
    <row r="275" spans="1:7" ht="15.75" customHeight="1" x14ac:dyDescent="0.3">
      <c r="A275" s="61"/>
      <c r="B275" s="61"/>
      <c r="C275" s="61"/>
      <c r="E275" s="61"/>
      <c r="G275" s="61"/>
    </row>
    <row r="276" spans="1:7" ht="15.75" customHeight="1" x14ac:dyDescent="0.3">
      <c r="A276" s="61"/>
      <c r="B276" s="61"/>
      <c r="C276" s="61"/>
      <c r="E276" s="61"/>
      <c r="G276" s="61"/>
    </row>
    <row r="277" spans="1:7" ht="15.75" customHeight="1" x14ac:dyDescent="0.3">
      <c r="A277" s="61"/>
      <c r="B277" s="61"/>
      <c r="C277" s="61"/>
      <c r="E277" s="61"/>
      <c r="G277" s="61"/>
    </row>
    <row r="278" spans="1:7" ht="15.75" customHeight="1" x14ac:dyDescent="0.3">
      <c r="A278" s="61"/>
      <c r="B278" s="61"/>
      <c r="C278" s="61"/>
      <c r="E278" s="61"/>
      <c r="G278" s="61"/>
    </row>
    <row r="279" spans="1:7" ht="15.75" customHeight="1" x14ac:dyDescent="0.3">
      <c r="A279" s="61"/>
      <c r="B279" s="61"/>
      <c r="C279" s="61"/>
      <c r="E279" s="61"/>
      <c r="G279" s="61"/>
    </row>
    <row r="280" spans="1:7" ht="15.75" customHeight="1" x14ac:dyDescent="0.3">
      <c r="A280" s="61"/>
      <c r="B280" s="61"/>
      <c r="C280" s="61"/>
      <c r="E280" s="61"/>
      <c r="G280" s="61"/>
    </row>
    <row r="281" spans="1:7" ht="15.75" customHeight="1" x14ac:dyDescent="0.3">
      <c r="A281" s="61"/>
      <c r="B281" s="61"/>
      <c r="C281" s="61"/>
      <c r="E281" s="61"/>
      <c r="G281" s="61"/>
    </row>
    <row r="282" spans="1:7" ht="15.75" customHeight="1" x14ac:dyDescent="0.3">
      <c r="A282" s="61"/>
      <c r="B282" s="61"/>
      <c r="C282" s="61"/>
      <c r="E282" s="61"/>
      <c r="G282" s="61"/>
    </row>
    <row r="283" spans="1:7" ht="15.75" customHeight="1" x14ac:dyDescent="0.3">
      <c r="A283" s="61"/>
      <c r="B283" s="61"/>
      <c r="C283" s="61"/>
      <c r="E283" s="61"/>
      <c r="G283" s="61"/>
    </row>
    <row r="284" spans="1:7" ht="15.75" customHeight="1" x14ac:dyDescent="0.3">
      <c r="A284" s="61"/>
      <c r="B284" s="61"/>
      <c r="C284" s="61"/>
      <c r="E284" s="61"/>
      <c r="G284" s="61"/>
    </row>
    <row r="285" spans="1:7" ht="15.75" customHeight="1" x14ac:dyDescent="0.3">
      <c r="A285" s="61"/>
      <c r="B285" s="61"/>
      <c r="C285" s="61"/>
      <c r="E285" s="61"/>
      <c r="G285" s="61"/>
    </row>
    <row r="286" spans="1:7" ht="15.75" customHeight="1" x14ac:dyDescent="0.3">
      <c r="A286" s="61"/>
      <c r="B286" s="61"/>
      <c r="C286" s="61"/>
      <c r="E286" s="61"/>
      <c r="G286" s="61"/>
    </row>
    <row r="287" spans="1:7" ht="15.75" customHeight="1" x14ac:dyDescent="0.3">
      <c r="A287" s="61"/>
      <c r="B287" s="61"/>
      <c r="C287" s="61"/>
      <c r="E287" s="61"/>
      <c r="G287" s="61"/>
    </row>
    <row r="288" spans="1:7" ht="15.75" customHeight="1" x14ac:dyDescent="0.3">
      <c r="A288" s="61"/>
      <c r="B288" s="61"/>
      <c r="C288" s="61"/>
      <c r="E288" s="61"/>
      <c r="G288" s="61"/>
    </row>
    <row r="289" spans="1:7" ht="15.75" customHeight="1" x14ac:dyDescent="0.3">
      <c r="A289" s="61"/>
      <c r="B289" s="61"/>
      <c r="C289" s="61"/>
      <c r="E289" s="61"/>
      <c r="G289" s="61"/>
    </row>
    <row r="290" spans="1:7" ht="15.75" customHeight="1" x14ac:dyDescent="0.3">
      <c r="A290" s="61"/>
      <c r="B290" s="61"/>
      <c r="C290" s="61"/>
      <c r="E290" s="61"/>
      <c r="G290" s="61"/>
    </row>
    <row r="291" spans="1:7" ht="15.75" customHeight="1" x14ac:dyDescent="0.3">
      <c r="A291" s="61"/>
      <c r="B291" s="61"/>
      <c r="C291" s="61"/>
      <c r="E291" s="61"/>
      <c r="G291" s="61"/>
    </row>
    <row r="292" spans="1:7" ht="15.75" customHeight="1" x14ac:dyDescent="0.3">
      <c r="A292" s="61"/>
      <c r="B292" s="61"/>
      <c r="C292" s="61"/>
      <c r="E292" s="61"/>
      <c r="G292" s="61"/>
    </row>
    <row r="293" spans="1:7" ht="15.75" customHeight="1" x14ac:dyDescent="0.3">
      <c r="A293" s="61"/>
      <c r="B293" s="61"/>
      <c r="C293" s="61"/>
      <c r="E293" s="61"/>
      <c r="G293" s="61"/>
    </row>
    <row r="294" spans="1:7" ht="15.75" customHeight="1" x14ac:dyDescent="0.3">
      <c r="A294" s="61"/>
      <c r="B294" s="61"/>
      <c r="C294" s="61"/>
      <c r="E294" s="61"/>
      <c r="G294" s="61"/>
    </row>
    <row r="295" spans="1:7" ht="15.75" customHeight="1" x14ac:dyDescent="0.3">
      <c r="A295" s="61"/>
      <c r="B295" s="61"/>
      <c r="C295" s="61"/>
      <c r="E295" s="61"/>
      <c r="G295" s="61"/>
    </row>
    <row r="296" spans="1:7" ht="15.75" customHeight="1" x14ac:dyDescent="0.3">
      <c r="A296" s="61"/>
      <c r="B296" s="61"/>
      <c r="C296" s="61"/>
      <c r="E296" s="61"/>
      <c r="G296" s="61"/>
    </row>
    <row r="297" spans="1:7" ht="15.75" customHeight="1" x14ac:dyDescent="0.3">
      <c r="A297" s="61"/>
      <c r="B297" s="61"/>
      <c r="C297" s="61"/>
      <c r="E297" s="61"/>
      <c r="G297" s="61"/>
    </row>
    <row r="298" spans="1:7" ht="15.75" customHeight="1" x14ac:dyDescent="0.3">
      <c r="A298" s="61"/>
      <c r="B298" s="61"/>
      <c r="C298" s="61"/>
      <c r="E298" s="61"/>
      <c r="G298" s="61"/>
    </row>
    <row r="299" spans="1:7" ht="15.75" customHeight="1" x14ac:dyDescent="0.3">
      <c r="A299" s="61"/>
      <c r="B299" s="61"/>
      <c r="C299" s="61"/>
      <c r="E299" s="61"/>
      <c r="G299" s="61"/>
    </row>
    <row r="300" spans="1:7" ht="15.75" customHeight="1" x14ac:dyDescent="0.3">
      <c r="A300" s="61"/>
      <c r="B300" s="61"/>
      <c r="C300" s="61"/>
      <c r="E300" s="61"/>
      <c r="G300" s="61"/>
    </row>
    <row r="301" spans="1:7" ht="15.75" customHeight="1" x14ac:dyDescent="0.3">
      <c r="A301" s="61"/>
      <c r="B301" s="61"/>
      <c r="C301" s="61"/>
      <c r="E301" s="61"/>
      <c r="G301" s="61"/>
    </row>
    <row r="302" spans="1:7" ht="15.75" customHeight="1" x14ac:dyDescent="0.3">
      <c r="A302" s="61"/>
      <c r="B302" s="61"/>
      <c r="C302" s="61"/>
      <c r="E302" s="61"/>
      <c r="G302" s="61"/>
    </row>
    <row r="303" spans="1:7" ht="15.75" customHeight="1" x14ac:dyDescent="0.3">
      <c r="A303" s="61"/>
      <c r="B303" s="61"/>
      <c r="C303" s="61"/>
      <c r="E303" s="61"/>
      <c r="G303" s="61"/>
    </row>
    <row r="304" spans="1:7" ht="15.75" customHeight="1" x14ac:dyDescent="0.3">
      <c r="A304" s="61"/>
      <c r="B304" s="61"/>
      <c r="C304" s="61"/>
      <c r="E304" s="61"/>
      <c r="G304" s="61"/>
    </row>
    <row r="305" spans="1:7" ht="15.75" customHeight="1" x14ac:dyDescent="0.3">
      <c r="A305" s="61"/>
      <c r="B305" s="61"/>
      <c r="C305" s="61"/>
      <c r="E305" s="61"/>
      <c r="G305" s="61"/>
    </row>
    <row r="306" spans="1:7" ht="15.75" customHeight="1" x14ac:dyDescent="0.3">
      <c r="A306" s="61"/>
      <c r="B306" s="61"/>
      <c r="C306" s="61"/>
      <c r="E306" s="61"/>
      <c r="G306" s="61"/>
    </row>
    <row r="307" spans="1:7" ht="15.75" customHeight="1" x14ac:dyDescent="0.3">
      <c r="A307" s="61"/>
      <c r="B307" s="61"/>
      <c r="C307" s="61"/>
      <c r="E307" s="61"/>
      <c r="G307" s="61"/>
    </row>
    <row r="308" spans="1:7" ht="15.75" customHeight="1" x14ac:dyDescent="0.3">
      <c r="A308" s="61"/>
      <c r="B308" s="61"/>
      <c r="C308" s="61"/>
      <c r="E308" s="61"/>
      <c r="G308" s="61"/>
    </row>
    <row r="309" spans="1:7" ht="15.75" customHeight="1" x14ac:dyDescent="0.3">
      <c r="A309" s="61"/>
      <c r="B309" s="61"/>
      <c r="C309" s="61"/>
      <c r="E309" s="61"/>
      <c r="G309" s="61"/>
    </row>
    <row r="310" spans="1:7" ht="15.75" customHeight="1" x14ac:dyDescent="0.3">
      <c r="A310" s="61"/>
      <c r="B310" s="61"/>
      <c r="C310" s="61"/>
      <c r="E310" s="61"/>
      <c r="G310" s="61"/>
    </row>
    <row r="311" spans="1:7" ht="15.75" customHeight="1" x14ac:dyDescent="0.3">
      <c r="A311" s="61"/>
      <c r="B311" s="61"/>
      <c r="C311" s="61"/>
      <c r="E311" s="61"/>
      <c r="G311" s="61"/>
    </row>
    <row r="312" spans="1:7" ht="15.75" customHeight="1" x14ac:dyDescent="0.3">
      <c r="A312" s="61"/>
      <c r="B312" s="61"/>
      <c r="C312" s="61"/>
      <c r="E312" s="61"/>
      <c r="G312" s="61"/>
    </row>
    <row r="313" spans="1:7" ht="15.75" customHeight="1" x14ac:dyDescent="0.3">
      <c r="A313" s="61"/>
      <c r="B313" s="61"/>
      <c r="C313" s="61"/>
      <c r="E313" s="61"/>
      <c r="G313" s="61"/>
    </row>
    <row r="314" spans="1:7" ht="15.75" customHeight="1" x14ac:dyDescent="0.3">
      <c r="A314" s="61"/>
      <c r="B314" s="61"/>
      <c r="C314" s="61"/>
      <c r="E314" s="61"/>
      <c r="G314" s="61"/>
    </row>
    <row r="315" spans="1:7" ht="15.75" customHeight="1" x14ac:dyDescent="0.3">
      <c r="A315" s="61"/>
      <c r="B315" s="61"/>
      <c r="C315" s="61"/>
      <c r="E315" s="61"/>
      <c r="G315" s="61"/>
    </row>
    <row r="316" spans="1:7" ht="15.75" customHeight="1" x14ac:dyDescent="0.3">
      <c r="A316" s="61"/>
      <c r="B316" s="61"/>
      <c r="C316" s="61"/>
      <c r="E316" s="61"/>
      <c r="G316" s="61"/>
    </row>
    <row r="317" spans="1:7" ht="15.75" customHeight="1" x14ac:dyDescent="0.3">
      <c r="A317" s="61"/>
      <c r="B317" s="61"/>
      <c r="C317" s="61"/>
      <c r="E317" s="61"/>
      <c r="G317" s="61"/>
    </row>
    <row r="318" spans="1:7" ht="15.75" customHeight="1" x14ac:dyDescent="0.3">
      <c r="A318" s="61"/>
      <c r="B318" s="61"/>
      <c r="C318" s="61"/>
      <c r="E318" s="61"/>
      <c r="G318" s="61"/>
    </row>
    <row r="319" spans="1:7" ht="15.75" customHeight="1" x14ac:dyDescent="0.3">
      <c r="A319" s="61"/>
      <c r="B319" s="61"/>
      <c r="C319" s="61"/>
      <c r="E319" s="61"/>
      <c r="G319" s="61"/>
    </row>
    <row r="320" spans="1:7" ht="15.75" customHeight="1" x14ac:dyDescent="0.3">
      <c r="A320" s="61"/>
      <c r="B320" s="61"/>
      <c r="C320" s="61"/>
      <c r="E320" s="61"/>
      <c r="G320" s="61"/>
    </row>
    <row r="321" spans="1:7" ht="15.75" customHeight="1" x14ac:dyDescent="0.3">
      <c r="A321" s="61"/>
      <c r="B321" s="61"/>
      <c r="C321" s="61"/>
      <c r="E321" s="61"/>
      <c r="G321" s="61"/>
    </row>
    <row r="322" spans="1:7" ht="15.75" customHeight="1" x14ac:dyDescent="0.3">
      <c r="A322" s="61"/>
      <c r="B322" s="61"/>
      <c r="C322" s="61"/>
      <c r="E322" s="61"/>
      <c r="G322" s="61"/>
    </row>
    <row r="323" spans="1:7" ht="15.75" customHeight="1" x14ac:dyDescent="0.3">
      <c r="A323" s="61"/>
      <c r="B323" s="61"/>
      <c r="C323" s="61"/>
      <c r="E323" s="61"/>
      <c r="G323" s="61"/>
    </row>
    <row r="324" spans="1:7" ht="15.75" customHeight="1" x14ac:dyDescent="0.3">
      <c r="A324" s="61"/>
      <c r="B324" s="61"/>
      <c r="C324" s="61"/>
      <c r="E324" s="61"/>
      <c r="G324" s="61"/>
    </row>
    <row r="325" spans="1:7" ht="15.75" customHeight="1" x14ac:dyDescent="0.3">
      <c r="A325" s="61"/>
      <c r="B325" s="61"/>
      <c r="C325" s="61"/>
      <c r="E325" s="61"/>
      <c r="G325" s="61"/>
    </row>
    <row r="326" spans="1:7" ht="15.75" customHeight="1" x14ac:dyDescent="0.3">
      <c r="A326" s="61"/>
      <c r="B326" s="61"/>
      <c r="C326" s="61"/>
      <c r="E326" s="61"/>
      <c r="G326" s="61"/>
    </row>
    <row r="327" spans="1:7" ht="15.75" customHeight="1" x14ac:dyDescent="0.3">
      <c r="A327" s="61"/>
      <c r="B327" s="61"/>
      <c r="C327" s="61"/>
      <c r="E327" s="61"/>
      <c r="G327" s="61"/>
    </row>
    <row r="328" spans="1:7" ht="15.75" customHeight="1" x14ac:dyDescent="0.3">
      <c r="A328" s="61"/>
      <c r="B328" s="61"/>
      <c r="C328" s="61"/>
      <c r="E328" s="61"/>
      <c r="G328" s="61"/>
    </row>
    <row r="329" spans="1:7" ht="15.75" customHeight="1" x14ac:dyDescent="0.3">
      <c r="A329" s="61"/>
      <c r="B329" s="61"/>
      <c r="C329" s="61"/>
      <c r="E329" s="61"/>
      <c r="G329" s="61"/>
    </row>
    <row r="330" spans="1:7" ht="15.75" customHeight="1" x14ac:dyDescent="0.3">
      <c r="A330" s="61"/>
      <c r="B330" s="61"/>
      <c r="C330" s="61"/>
      <c r="E330" s="61"/>
      <c r="G330" s="61"/>
    </row>
    <row r="331" spans="1:7" ht="15.75" customHeight="1" x14ac:dyDescent="0.3">
      <c r="A331" s="61"/>
      <c r="B331" s="61"/>
      <c r="C331" s="61"/>
      <c r="E331" s="61"/>
      <c r="G331" s="61"/>
    </row>
    <row r="332" spans="1:7" ht="15.75" customHeight="1" x14ac:dyDescent="0.3">
      <c r="A332" s="61"/>
      <c r="B332" s="61"/>
      <c r="C332" s="61"/>
      <c r="E332" s="61"/>
      <c r="G332" s="61"/>
    </row>
    <row r="333" spans="1:7" ht="15.75" customHeight="1" x14ac:dyDescent="0.3">
      <c r="A333" s="61"/>
      <c r="B333" s="61"/>
      <c r="C333" s="61"/>
      <c r="E333" s="61"/>
      <c r="G333" s="61"/>
    </row>
    <row r="334" spans="1:7" ht="15.75" customHeight="1" x14ac:dyDescent="0.3">
      <c r="A334" s="61"/>
      <c r="B334" s="61"/>
      <c r="C334" s="61"/>
      <c r="E334" s="61"/>
      <c r="G334" s="61"/>
    </row>
    <row r="335" spans="1:7" ht="15.75" customHeight="1" x14ac:dyDescent="0.3">
      <c r="A335" s="61"/>
      <c r="B335" s="61"/>
      <c r="C335" s="61"/>
      <c r="E335" s="61"/>
      <c r="G335" s="61"/>
    </row>
    <row r="336" spans="1:7" ht="15.75" customHeight="1" x14ac:dyDescent="0.3">
      <c r="A336" s="61"/>
      <c r="B336" s="61"/>
      <c r="C336" s="61"/>
      <c r="E336" s="61"/>
      <c r="G336" s="61"/>
    </row>
    <row r="337" spans="1:7" ht="15.75" customHeight="1" x14ac:dyDescent="0.3">
      <c r="A337" s="61"/>
      <c r="B337" s="61"/>
      <c r="C337" s="61"/>
      <c r="E337" s="61"/>
      <c r="G337" s="61"/>
    </row>
    <row r="338" spans="1:7" ht="15.75" customHeight="1" x14ac:dyDescent="0.3">
      <c r="A338" s="61"/>
      <c r="B338" s="61"/>
      <c r="C338" s="61"/>
      <c r="E338" s="61"/>
      <c r="G338" s="61"/>
    </row>
    <row r="339" spans="1:7" ht="15.75" customHeight="1" x14ac:dyDescent="0.3">
      <c r="A339" s="61"/>
      <c r="B339" s="61"/>
      <c r="C339" s="61"/>
      <c r="E339" s="61"/>
      <c r="G339" s="61"/>
    </row>
    <row r="340" spans="1:7" ht="15.75" customHeight="1" x14ac:dyDescent="0.3">
      <c r="A340" s="61"/>
      <c r="B340" s="61"/>
      <c r="C340" s="61"/>
      <c r="E340" s="61"/>
      <c r="G340" s="61"/>
    </row>
    <row r="341" spans="1:7" ht="15.75" customHeight="1" x14ac:dyDescent="0.3">
      <c r="A341" s="61"/>
      <c r="B341" s="61"/>
      <c r="C341" s="61"/>
      <c r="E341" s="61"/>
      <c r="G341" s="61"/>
    </row>
    <row r="342" spans="1:7" ht="15.75" customHeight="1" x14ac:dyDescent="0.3">
      <c r="A342" s="61"/>
      <c r="B342" s="61"/>
      <c r="C342" s="61"/>
      <c r="E342" s="61"/>
      <c r="G342" s="61"/>
    </row>
    <row r="343" spans="1:7" ht="15.75" customHeight="1" x14ac:dyDescent="0.3">
      <c r="A343" s="61"/>
      <c r="B343" s="61"/>
      <c r="C343" s="61"/>
      <c r="E343" s="61"/>
      <c r="G343" s="61"/>
    </row>
    <row r="344" spans="1:7" ht="15.75" customHeight="1" x14ac:dyDescent="0.3">
      <c r="A344" s="61"/>
      <c r="B344" s="61"/>
      <c r="C344" s="61"/>
      <c r="E344" s="61"/>
      <c r="G344" s="61"/>
    </row>
    <row r="345" spans="1:7" ht="15.75" customHeight="1" x14ac:dyDescent="0.3">
      <c r="A345" s="61"/>
      <c r="B345" s="61"/>
      <c r="C345" s="61"/>
      <c r="E345" s="61"/>
      <c r="G345" s="61"/>
    </row>
    <row r="346" spans="1:7" ht="15.75" customHeight="1" x14ac:dyDescent="0.3">
      <c r="A346" s="61"/>
      <c r="B346" s="61"/>
      <c r="C346" s="61"/>
      <c r="E346" s="61"/>
      <c r="G346" s="61"/>
    </row>
    <row r="347" spans="1:7" ht="15.75" customHeight="1" x14ac:dyDescent="0.3">
      <c r="A347" s="61"/>
      <c r="B347" s="61"/>
      <c r="C347" s="61"/>
      <c r="E347" s="61"/>
      <c r="G347" s="61"/>
    </row>
    <row r="348" spans="1:7" ht="15.75" customHeight="1" x14ac:dyDescent="0.3">
      <c r="A348" s="61"/>
      <c r="B348" s="61"/>
      <c r="C348" s="61"/>
      <c r="E348" s="61"/>
      <c r="G348" s="61"/>
    </row>
    <row r="349" spans="1:7" ht="15.75" customHeight="1" x14ac:dyDescent="0.3">
      <c r="A349" s="61"/>
      <c r="B349" s="61"/>
      <c r="C349" s="61"/>
      <c r="E349" s="61"/>
      <c r="G349" s="61"/>
    </row>
    <row r="350" spans="1:7" ht="15.75" customHeight="1" x14ac:dyDescent="0.3">
      <c r="A350" s="61"/>
      <c r="B350" s="61"/>
      <c r="C350" s="61"/>
      <c r="E350" s="61"/>
      <c r="G350" s="61"/>
    </row>
    <row r="351" spans="1:7" ht="15.75" customHeight="1" x14ac:dyDescent="0.3">
      <c r="A351" s="61"/>
      <c r="B351" s="61"/>
      <c r="C351" s="61"/>
      <c r="E351" s="61"/>
      <c r="G351" s="61"/>
    </row>
    <row r="352" spans="1:7" ht="15.75" customHeight="1" x14ac:dyDescent="0.3">
      <c r="A352" s="61"/>
      <c r="B352" s="61"/>
      <c r="C352" s="61"/>
      <c r="E352" s="61"/>
      <c r="G352" s="61"/>
    </row>
    <row r="353" spans="1:7" ht="15.75" customHeight="1" x14ac:dyDescent="0.3">
      <c r="A353" s="61"/>
      <c r="B353" s="61"/>
      <c r="C353" s="61"/>
      <c r="E353" s="61"/>
      <c r="G353" s="61"/>
    </row>
    <row r="354" spans="1:7" ht="15.75" customHeight="1" x14ac:dyDescent="0.3">
      <c r="A354" s="61"/>
      <c r="B354" s="61"/>
      <c r="C354" s="61"/>
      <c r="E354" s="61"/>
      <c r="G354" s="61"/>
    </row>
    <row r="355" spans="1:7" ht="15.75" customHeight="1" x14ac:dyDescent="0.3">
      <c r="A355" s="61"/>
      <c r="B355" s="61"/>
      <c r="C355" s="61"/>
      <c r="E355" s="61"/>
      <c r="G355" s="61"/>
    </row>
    <row r="356" spans="1:7" ht="15.75" customHeight="1" x14ac:dyDescent="0.3">
      <c r="A356" s="61"/>
      <c r="B356" s="61"/>
      <c r="C356" s="61"/>
      <c r="E356" s="61"/>
      <c r="G356" s="61"/>
    </row>
    <row r="357" spans="1:7" ht="15.75" customHeight="1" x14ac:dyDescent="0.3">
      <c r="A357" s="61"/>
      <c r="B357" s="61"/>
      <c r="C357" s="61"/>
      <c r="E357" s="61"/>
      <c r="G357" s="61"/>
    </row>
    <row r="358" spans="1:7" ht="15.75" customHeight="1" x14ac:dyDescent="0.3">
      <c r="A358" s="61"/>
      <c r="B358" s="61"/>
      <c r="C358" s="61"/>
      <c r="E358" s="61"/>
      <c r="G358" s="61"/>
    </row>
    <row r="359" spans="1:7" ht="15.75" customHeight="1" x14ac:dyDescent="0.3">
      <c r="A359" s="61"/>
      <c r="B359" s="61"/>
      <c r="C359" s="61"/>
      <c r="E359" s="61"/>
      <c r="G359" s="61"/>
    </row>
    <row r="360" spans="1:7" ht="15.75" customHeight="1" x14ac:dyDescent="0.3">
      <c r="A360" s="61"/>
      <c r="B360" s="61"/>
      <c r="C360" s="61"/>
      <c r="E360" s="61"/>
      <c r="G360" s="61"/>
    </row>
    <row r="361" spans="1:7" ht="15.75" customHeight="1" x14ac:dyDescent="0.3">
      <c r="A361" s="61"/>
      <c r="B361" s="61"/>
      <c r="C361" s="61"/>
      <c r="E361" s="61"/>
      <c r="G361" s="61"/>
    </row>
    <row r="362" spans="1:7" ht="15.75" customHeight="1" x14ac:dyDescent="0.3">
      <c r="A362" s="61"/>
      <c r="B362" s="61"/>
      <c r="C362" s="61"/>
      <c r="E362" s="61"/>
      <c r="G362" s="61"/>
    </row>
    <row r="363" spans="1:7" ht="15.75" customHeight="1" x14ac:dyDescent="0.3">
      <c r="A363" s="61"/>
      <c r="B363" s="61"/>
      <c r="C363" s="61"/>
      <c r="E363" s="61"/>
      <c r="G363" s="61"/>
    </row>
    <row r="364" spans="1:7" ht="15.75" customHeight="1" x14ac:dyDescent="0.3">
      <c r="A364" s="61"/>
      <c r="B364" s="61"/>
      <c r="C364" s="61"/>
      <c r="E364" s="61"/>
      <c r="G364" s="61"/>
    </row>
    <row r="365" spans="1:7" ht="15.75" customHeight="1" x14ac:dyDescent="0.3">
      <c r="A365" s="61"/>
      <c r="B365" s="61"/>
      <c r="C365" s="61"/>
      <c r="E365" s="61"/>
      <c r="G365" s="61"/>
    </row>
    <row r="366" spans="1:7" ht="15.75" customHeight="1" x14ac:dyDescent="0.3">
      <c r="A366" s="61"/>
      <c r="B366" s="61"/>
      <c r="C366" s="61"/>
      <c r="E366" s="61"/>
      <c r="G366" s="61"/>
    </row>
    <row r="367" spans="1:7" ht="15.75" customHeight="1" x14ac:dyDescent="0.3">
      <c r="A367" s="61"/>
      <c r="B367" s="61"/>
      <c r="C367" s="61"/>
      <c r="E367" s="61"/>
      <c r="G367" s="61"/>
    </row>
    <row r="368" spans="1:7" ht="15.75" customHeight="1" x14ac:dyDescent="0.3">
      <c r="A368" s="61"/>
      <c r="B368" s="61"/>
      <c r="C368" s="61"/>
      <c r="E368" s="61"/>
      <c r="G368" s="61"/>
    </row>
    <row r="369" spans="1:7" ht="15.75" customHeight="1" x14ac:dyDescent="0.3">
      <c r="A369" s="61"/>
      <c r="B369" s="61"/>
      <c r="C369" s="61"/>
      <c r="E369" s="61"/>
      <c r="G369" s="61"/>
    </row>
    <row r="370" spans="1:7" ht="15.75" customHeight="1" x14ac:dyDescent="0.3">
      <c r="A370" s="61"/>
      <c r="B370" s="61"/>
      <c r="C370" s="61"/>
      <c r="E370" s="61"/>
      <c r="G370" s="61"/>
    </row>
    <row r="371" spans="1:7" ht="15.75" customHeight="1" x14ac:dyDescent="0.3">
      <c r="A371" s="61"/>
      <c r="B371" s="61"/>
      <c r="C371" s="61"/>
      <c r="E371" s="61"/>
      <c r="G371" s="61"/>
    </row>
    <row r="372" spans="1:7" ht="15.75" customHeight="1" x14ac:dyDescent="0.3">
      <c r="A372" s="61"/>
      <c r="B372" s="61"/>
      <c r="C372" s="61"/>
      <c r="E372" s="61"/>
      <c r="G372" s="61"/>
    </row>
    <row r="373" spans="1:7" ht="15.75" customHeight="1" x14ac:dyDescent="0.3">
      <c r="A373" s="61"/>
      <c r="B373" s="61"/>
      <c r="C373" s="61"/>
      <c r="E373" s="61"/>
      <c r="G373" s="61"/>
    </row>
    <row r="374" spans="1:7" ht="15.75" customHeight="1" x14ac:dyDescent="0.3">
      <c r="A374" s="61"/>
      <c r="B374" s="61"/>
      <c r="C374" s="61"/>
      <c r="E374" s="61"/>
      <c r="G374" s="61"/>
    </row>
    <row r="375" spans="1:7" ht="15.75" customHeight="1" x14ac:dyDescent="0.3">
      <c r="A375" s="61"/>
      <c r="B375" s="61"/>
      <c r="C375" s="61"/>
      <c r="E375" s="61"/>
      <c r="G375" s="61"/>
    </row>
    <row r="376" spans="1:7" ht="15.75" customHeight="1" x14ac:dyDescent="0.3">
      <c r="A376" s="61"/>
      <c r="B376" s="61"/>
      <c r="C376" s="61"/>
      <c r="E376" s="61"/>
      <c r="G376" s="61"/>
    </row>
    <row r="377" spans="1:7" ht="15.75" customHeight="1" x14ac:dyDescent="0.3">
      <c r="A377" s="61"/>
      <c r="B377" s="61"/>
      <c r="C377" s="61"/>
      <c r="E377" s="61"/>
      <c r="G377" s="61"/>
    </row>
    <row r="378" spans="1:7" ht="15.75" customHeight="1" x14ac:dyDescent="0.3">
      <c r="A378" s="61"/>
      <c r="B378" s="61"/>
      <c r="C378" s="61"/>
      <c r="E378" s="61"/>
      <c r="G378" s="61"/>
    </row>
    <row r="379" spans="1:7" ht="15.75" customHeight="1" x14ac:dyDescent="0.3">
      <c r="A379" s="61"/>
      <c r="B379" s="61"/>
      <c r="C379" s="61"/>
      <c r="E379" s="61"/>
      <c r="G379" s="61"/>
    </row>
    <row r="380" spans="1:7" ht="15.75" customHeight="1" x14ac:dyDescent="0.3">
      <c r="A380" s="61"/>
      <c r="B380" s="61"/>
      <c r="C380" s="61"/>
      <c r="E380" s="61"/>
      <c r="G380" s="61"/>
    </row>
    <row r="381" spans="1:7" ht="15.75" customHeight="1" x14ac:dyDescent="0.3">
      <c r="A381" s="61"/>
      <c r="B381" s="61"/>
      <c r="C381" s="61"/>
      <c r="E381" s="61"/>
      <c r="G381" s="61"/>
    </row>
    <row r="382" spans="1:7" ht="15.75" customHeight="1" x14ac:dyDescent="0.3">
      <c r="A382" s="61"/>
      <c r="B382" s="61"/>
      <c r="C382" s="61"/>
      <c r="E382" s="61"/>
      <c r="G382" s="61"/>
    </row>
    <row r="383" spans="1:7" ht="15.75" customHeight="1" x14ac:dyDescent="0.3">
      <c r="A383" s="61"/>
      <c r="B383" s="61"/>
      <c r="C383" s="61"/>
      <c r="E383" s="61"/>
      <c r="G383" s="61"/>
    </row>
    <row r="384" spans="1:7" ht="15.75" customHeight="1" x14ac:dyDescent="0.3">
      <c r="A384" s="61"/>
      <c r="B384" s="61"/>
      <c r="C384" s="61"/>
      <c r="E384" s="61"/>
      <c r="G384" s="61"/>
    </row>
    <row r="385" spans="1:7" ht="15.75" customHeight="1" x14ac:dyDescent="0.3">
      <c r="A385" s="61"/>
      <c r="B385" s="61"/>
      <c r="C385" s="61"/>
      <c r="E385" s="61"/>
      <c r="G385" s="61"/>
    </row>
    <row r="386" spans="1:7" ht="15.75" customHeight="1" x14ac:dyDescent="0.3">
      <c r="A386" s="61"/>
      <c r="B386" s="61"/>
      <c r="C386" s="61"/>
      <c r="E386" s="61"/>
      <c r="G386" s="61"/>
    </row>
    <row r="387" spans="1:7" ht="15.75" customHeight="1" x14ac:dyDescent="0.3">
      <c r="A387" s="61"/>
      <c r="B387" s="61"/>
      <c r="C387" s="61"/>
      <c r="E387" s="61"/>
      <c r="G387" s="61"/>
    </row>
    <row r="388" spans="1:7" ht="15.75" customHeight="1" x14ac:dyDescent="0.3">
      <c r="A388" s="61"/>
      <c r="B388" s="61"/>
      <c r="C388" s="61"/>
      <c r="E388" s="61"/>
      <c r="G388" s="61"/>
    </row>
    <row r="389" spans="1:7" ht="15.75" customHeight="1" x14ac:dyDescent="0.3">
      <c r="A389" s="61"/>
      <c r="B389" s="61"/>
      <c r="C389" s="61"/>
      <c r="E389" s="61"/>
      <c r="G389" s="61"/>
    </row>
    <row r="390" spans="1:7" ht="15.75" customHeight="1" x14ac:dyDescent="0.3">
      <c r="A390" s="61"/>
      <c r="B390" s="61"/>
      <c r="C390" s="61"/>
      <c r="E390" s="61"/>
      <c r="G390" s="61"/>
    </row>
    <row r="391" spans="1:7" ht="15.75" customHeight="1" x14ac:dyDescent="0.3">
      <c r="A391" s="61"/>
      <c r="B391" s="61"/>
      <c r="C391" s="61"/>
      <c r="E391" s="61"/>
      <c r="G391" s="61"/>
    </row>
    <row r="392" spans="1:7" ht="15.75" customHeight="1" x14ac:dyDescent="0.3">
      <c r="A392" s="61"/>
      <c r="B392" s="61"/>
      <c r="C392" s="61"/>
      <c r="E392" s="61"/>
      <c r="G392" s="61"/>
    </row>
    <row r="393" spans="1:7" ht="15.75" customHeight="1" x14ac:dyDescent="0.3">
      <c r="A393" s="61"/>
      <c r="B393" s="61"/>
      <c r="C393" s="61"/>
      <c r="E393" s="61"/>
      <c r="G393" s="61"/>
    </row>
    <row r="394" spans="1:7" ht="15.75" customHeight="1" x14ac:dyDescent="0.3">
      <c r="A394" s="61"/>
      <c r="B394" s="61"/>
      <c r="C394" s="61"/>
      <c r="E394" s="61"/>
      <c r="G394" s="61"/>
    </row>
    <row r="395" spans="1:7" ht="15.75" customHeight="1" x14ac:dyDescent="0.3">
      <c r="A395" s="61"/>
      <c r="B395" s="61"/>
      <c r="C395" s="61"/>
      <c r="E395" s="61"/>
      <c r="G395" s="61"/>
    </row>
    <row r="396" spans="1:7" ht="15.75" customHeight="1" x14ac:dyDescent="0.3">
      <c r="A396" s="61"/>
      <c r="B396" s="61"/>
      <c r="C396" s="61"/>
      <c r="E396" s="61"/>
      <c r="G396" s="61"/>
    </row>
    <row r="397" spans="1:7" ht="15.75" customHeight="1" x14ac:dyDescent="0.3">
      <c r="A397" s="61"/>
      <c r="B397" s="61"/>
      <c r="C397" s="61"/>
      <c r="E397" s="61"/>
      <c r="G397" s="61"/>
    </row>
    <row r="398" spans="1:7" ht="15.75" customHeight="1" x14ac:dyDescent="0.3">
      <c r="A398" s="61"/>
      <c r="B398" s="61"/>
      <c r="C398" s="61"/>
      <c r="E398" s="61"/>
      <c r="G398" s="61"/>
    </row>
    <row r="399" spans="1:7" ht="15.75" customHeight="1" x14ac:dyDescent="0.3">
      <c r="A399" s="61"/>
      <c r="B399" s="61"/>
      <c r="C399" s="61"/>
      <c r="E399" s="61"/>
      <c r="G399" s="61"/>
    </row>
    <row r="400" spans="1:7" ht="15.75" customHeight="1" x14ac:dyDescent="0.3">
      <c r="A400" s="61"/>
      <c r="B400" s="61"/>
      <c r="C400" s="61"/>
      <c r="E400" s="61"/>
      <c r="G400" s="61"/>
    </row>
    <row r="401" spans="1:7" ht="15.75" customHeight="1" x14ac:dyDescent="0.3">
      <c r="A401" s="61"/>
      <c r="B401" s="61"/>
      <c r="C401" s="61"/>
      <c r="E401" s="61"/>
      <c r="G401" s="61"/>
    </row>
    <row r="402" spans="1:7" ht="15.75" customHeight="1" x14ac:dyDescent="0.3">
      <c r="A402" s="61"/>
      <c r="B402" s="61"/>
      <c r="C402" s="61"/>
      <c r="E402" s="61"/>
      <c r="G402" s="61"/>
    </row>
    <row r="403" spans="1:7" ht="15.75" customHeight="1" x14ac:dyDescent="0.3">
      <c r="A403" s="61"/>
      <c r="B403" s="61"/>
      <c r="C403" s="61"/>
      <c r="E403" s="61"/>
      <c r="G403" s="61"/>
    </row>
    <row r="404" spans="1:7" ht="15.75" customHeight="1" x14ac:dyDescent="0.3">
      <c r="A404" s="61"/>
      <c r="B404" s="61"/>
      <c r="C404" s="61"/>
      <c r="E404" s="61"/>
      <c r="G404" s="61"/>
    </row>
    <row r="405" spans="1:7" ht="15.75" customHeight="1" x14ac:dyDescent="0.3">
      <c r="A405" s="61"/>
      <c r="B405" s="61"/>
      <c r="C405" s="61"/>
      <c r="E405" s="61"/>
      <c r="G405" s="61"/>
    </row>
    <row r="406" spans="1:7" ht="15.75" customHeight="1" x14ac:dyDescent="0.3">
      <c r="A406" s="61"/>
      <c r="B406" s="61"/>
      <c r="C406" s="61"/>
      <c r="E406" s="61"/>
      <c r="G406" s="61"/>
    </row>
    <row r="407" spans="1:7" ht="15.75" customHeight="1" x14ac:dyDescent="0.3">
      <c r="A407" s="61"/>
      <c r="B407" s="61"/>
      <c r="C407" s="61"/>
      <c r="E407" s="61"/>
      <c r="G407" s="61"/>
    </row>
    <row r="408" spans="1:7" ht="15.75" customHeight="1" x14ac:dyDescent="0.3">
      <c r="A408" s="61"/>
      <c r="B408" s="61"/>
      <c r="C408" s="61"/>
      <c r="E408" s="61"/>
      <c r="G408" s="61"/>
    </row>
    <row r="409" spans="1:7" ht="15.75" customHeight="1" x14ac:dyDescent="0.3">
      <c r="A409" s="61"/>
      <c r="B409" s="61"/>
      <c r="C409" s="61"/>
      <c r="E409" s="61"/>
      <c r="G409" s="61"/>
    </row>
    <row r="410" spans="1:7" ht="15.75" customHeight="1" x14ac:dyDescent="0.3">
      <c r="A410" s="61"/>
      <c r="B410" s="61"/>
      <c r="C410" s="61"/>
      <c r="E410" s="61"/>
      <c r="G410" s="61"/>
    </row>
    <row r="411" spans="1:7" ht="15.75" customHeight="1" x14ac:dyDescent="0.3">
      <c r="A411" s="61"/>
      <c r="B411" s="61"/>
      <c r="C411" s="61"/>
      <c r="E411" s="61"/>
      <c r="G411" s="61"/>
    </row>
    <row r="412" spans="1:7" ht="15.75" customHeight="1" x14ac:dyDescent="0.3">
      <c r="A412" s="61"/>
      <c r="B412" s="61"/>
      <c r="C412" s="61"/>
      <c r="E412" s="61"/>
      <c r="G412" s="61"/>
    </row>
    <row r="413" spans="1:7" ht="15.75" customHeight="1" x14ac:dyDescent="0.3">
      <c r="A413" s="61"/>
      <c r="B413" s="61"/>
      <c r="C413" s="61"/>
      <c r="E413" s="61"/>
      <c r="G413" s="61"/>
    </row>
    <row r="414" spans="1:7" ht="15.75" customHeight="1" x14ac:dyDescent="0.3">
      <c r="A414" s="61"/>
      <c r="B414" s="61"/>
      <c r="C414" s="61"/>
      <c r="E414" s="61"/>
      <c r="G414" s="61"/>
    </row>
    <row r="415" spans="1:7" ht="15.75" customHeight="1" x14ac:dyDescent="0.3">
      <c r="A415" s="61"/>
      <c r="B415" s="61"/>
      <c r="C415" s="61"/>
      <c r="E415" s="61"/>
      <c r="G415" s="61"/>
    </row>
    <row r="416" spans="1:7" ht="15.75" customHeight="1" x14ac:dyDescent="0.3">
      <c r="A416" s="61"/>
      <c r="B416" s="61"/>
      <c r="C416" s="61"/>
      <c r="E416" s="61"/>
      <c r="G416" s="61"/>
    </row>
    <row r="417" spans="1:7" ht="15.75" customHeight="1" x14ac:dyDescent="0.3">
      <c r="A417" s="61"/>
      <c r="B417" s="61"/>
      <c r="C417" s="61"/>
      <c r="E417" s="61"/>
      <c r="G417" s="61"/>
    </row>
    <row r="418" spans="1:7" ht="15.75" customHeight="1" x14ac:dyDescent="0.3">
      <c r="A418" s="61"/>
      <c r="B418" s="61"/>
      <c r="C418" s="61"/>
      <c r="E418" s="61"/>
      <c r="G418" s="61"/>
    </row>
    <row r="419" spans="1:7" ht="15.75" customHeight="1" x14ac:dyDescent="0.3">
      <c r="A419" s="61"/>
      <c r="B419" s="61"/>
      <c r="C419" s="61"/>
      <c r="E419" s="61"/>
      <c r="G419" s="61"/>
    </row>
    <row r="420" spans="1:7" ht="15.75" customHeight="1" x14ac:dyDescent="0.3">
      <c r="A420" s="61"/>
      <c r="B420" s="61"/>
      <c r="C420" s="61"/>
      <c r="E420" s="61"/>
      <c r="G420" s="61"/>
    </row>
    <row r="421" spans="1:7" ht="15.75" customHeight="1" x14ac:dyDescent="0.3">
      <c r="A421" s="61"/>
      <c r="B421" s="61"/>
      <c r="C421" s="61"/>
      <c r="E421" s="61"/>
      <c r="G421" s="61"/>
    </row>
    <row r="422" spans="1:7" ht="15.75" customHeight="1" x14ac:dyDescent="0.3">
      <c r="A422" s="61"/>
      <c r="B422" s="61"/>
      <c r="C422" s="61"/>
      <c r="E422" s="61"/>
      <c r="G422" s="61"/>
    </row>
    <row r="423" spans="1:7" ht="15.75" customHeight="1" x14ac:dyDescent="0.3">
      <c r="A423" s="61"/>
      <c r="B423" s="61"/>
      <c r="C423" s="61"/>
      <c r="E423" s="61"/>
      <c r="G423" s="61"/>
    </row>
    <row r="424" spans="1:7" ht="15.75" customHeight="1" x14ac:dyDescent="0.3">
      <c r="A424" s="61"/>
      <c r="B424" s="61"/>
      <c r="C424" s="61"/>
      <c r="E424" s="61"/>
      <c r="G424" s="61"/>
    </row>
    <row r="425" spans="1:7" ht="15.75" customHeight="1" x14ac:dyDescent="0.3">
      <c r="A425" s="61"/>
      <c r="B425" s="61"/>
      <c r="C425" s="61"/>
      <c r="E425" s="61"/>
      <c r="G425" s="61"/>
    </row>
    <row r="426" spans="1:7" ht="15.75" customHeight="1" x14ac:dyDescent="0.3">
      <c r="A426" s="61"/>
      <c r="B426" s="61"/>
      <c r="C426" s="61"/>
      <c r="E426" s="61"/>
      <c r="G426" s="61"/>
    </row>
    <row r="427" spans="1:7" ht="15.75" customHeight="1" x14ac:dyDescent="0.3">
      <c r="A427" s="61"/>
      <c r="B427" s="61"/>
      <c r="C427" s="61"/>
      <c r="E427" s="61"/>
      <c r="G427" s="61"/>
    </row>
    <row r="428" spans="1:7" ht="15.75" customHeight="1" x14ac:dyDescent="0.3">
      <c r="A428" s="61"/>
      <c r="B428" s="61"/>
      <c r="C428" s="61"/>
      <c r="E428" s="61"/>
      <c r="G428" s="61"/>
    </row>
    <row r="429" spans="1:7" ht="15.75" customHeight="1" x14ac:dyDescent="0.3">
      <c r="A429" s="61"/>
      <c r="B429" s="61"/>
      <c r="C429" s="61"/>
      <c r="E429" s="61"/>
      <c r="G429" s="61"/>
    </row>
    <row r="430" spans="1:7" ht="15.75" customHeight="1" x14ac:dyDescent="0.3">
      <c r="A430" s="61"/>
      <c r="B430" s="61"/>
      <c r="C430" s="61"/>
      <c r="E430" s="61"/>
      <c r="G430" s="61"/>
    </row>
    <row r="431" spans="1:7" ht="15.75" customHeight="1" x14ac:dyDescent="0.3">
      <c r="A431" s="61"/>
      <c r="B431" s="61"/>
      <c r="C431" s="61"/>
      <c r="E431" s="61"/>
      <c r="G431" s="61"/>
    </row>
    <row r="432" spans="1:7" ht="15.75" customHeight="1" x14ac:dyDescent="0.3">
      <c r="A432" s="61"/>
      <c r="B432" s="61"/>
      <c r="C432" s="61"/>
      <c r="E432" s="61"/>
      <c r="G432" s="61"/>
    </row>
    <row r="433" spans="1:7" ht="15.75" customHeight="1" x14ac:dyDescent="0.3">
      <c r="A433" s="61"/>
      <c r="B433" s="61"/>
      <c r="C433" s="61"/>
      <c r="E433" s="61"/>
      <c r="G433" s="61"/>
    </row>
    <row r="434" spans="1:7" ht="15.75" customHeight="1" x14ac:dyDescent="0.3">
      <c r="A434" s="61"/>
      <c r="B434" s="61"/>
      <c r="C434" s="61"/>
      <c r="E434" s="61"/>
      <c r="G434" s="61"/>
    </row>
    <row r="435" spans="1:7" ht="15.75" customHeight="1" x14ac:dyDescent="0.3">
      <c r="A435" s="61"/>
      <c r="B435" s="61"/>
      <c r="C435" s="61"/>
      <c r="E435" s="61"/>
      <c r="G435" s="61"/>
    </row>
    <row r="436" spans="1:7" ht="15.75" customHeight="1" x14ac:dyDescent="0.3">
      <c r="A436" s="61"/>
      <c r="B436" s="61"/>
      <c r="C436" s="61"/>
      <c r="E436" s="61"/>
      <c r="G436" s="61"/>
    </row>
    <row r="437" spans="1:7" ht="15.75" customHeight="1" x14ac:dyDescent="0.3">
      <c r="A437" s="61"/>
      <c r="B437" s="61"/>
      <c r="C437" s="61"/>
      <c r="E437" s="61"/>
      <c r="G437" s="61"/>
    </row>
    <row r="438" spans="1:7" ht="15.75" customHeight="1" x14ac:dyDescent="0.3">
      <c r="A438" s="61"/>
      <c r="B438" s="61"/>
      <c r="C438" s="61"/>
      <c r="E438" s="61"/>
      <c r="G438" s="61"/>
    </row>
    <row r="439" spans="1:7" ht="15.75" customHeight="1" x14ac:dyDescent="0.3">
      <c r="A439" s="61"/>
      <c r="B439" s="61"/>
      <c r="C439" s="61"/>
      <c r="E439" s="61"/>
      <c r="G439" s="61"/>
    </row>
    <row r="440" spans="1:7" ht="15.75" customHeight="1" x14ac:dyDescent="0.3">
      <c r="A440" s="61"/>
      <c r="B440" s="61"/>
      <c r="C440" s="61"/>
      <c r="E440" s="61"/>
      <c r="G440" s="61"/>
    </row>
    <row r="441" spans="1:7" ht="15.75" customHeight="1" x14ac:dyDescent="0.3">
      <c r="A441" s="61"/>
      <c r="B441" s="61"/>
      <c r="C441" s="61"/>
      <c r="E441" s="61"/>
      <c r="G441" s="61"/>
    </row>
    <row r="442" spans="1:7" ht="15.75" customHeight="1" x14ac:dyDescent="0.3">
      <c r="A442" s="61"/>
      <c r="B442" s="61"/>
      <c r="C442" s="61"/>
      <c r="E442" s="61"/>
      <c r="G442" s="61"/>
    </row>
    <row r="443" spans="1:7" ht="15.75" customHeight="1" x14ac:dyDescent="0.3">
      <c r="A443" s="61"/>
      <c r="B443" s="61"/>
      <c r="C443" s="61"/>
      <c r="E443" s="61"/>
      <c r="G443" s="61"/>
    </row>
    <row r="444" spans="1:7" ht="15.75" customHeight="1" x14ac:dyDescent="0.3">
      <c r="A444" s="61"/>
      <c r="B444" s="61"/>
      <c r="C444" s="61"/>
      <c r="E444" s="61"/>
      <c r="G444" s="61"/>
    </row>
    <row r="445" spans="1:7" ht="15.75" customHeight="1" x14ac:dyDescent="0.3">
      <c r="A445" s="61"/>
      <c r="B445" s="61"/>
      <c r="C445" s="61"/>
      <c r="E445" s="61"/>
      <c r="G445" s="61"/>
    </row>
    <row r="446" spans="1:7" ht="15.75" customHeight="1" x14ac:dyDescent="0.3">
      <c r="A446" s="61"/>
      <c r="B446" s="61"/>
      <c r="C446" s="61"/>
      <c r="E446" s="61"/>
      <c r="G446" s="61"/>
    </row>
    <row r="447" spans="1:7" ht="15.75" customHeight="1" x14ac:dyDescent="0.3">
      <c r="A447" s="61"/>
      <c r="B447" s="61"/>
      <c r="C447" s="61"/>
      <c r="E447" s="61"/>
      <c r="G447" s="61"/>
    </row>
    <row r="448" spans="1:7" ht="15.75" customHeight="1" x14ac:dyDescent="0.3">
      <c r="A448" s="61"/>
      <c r="B448" s="61"/>
      <c r="C448" s="61"/>
      <c r="E448" s="61"/>
      <c r="G448" s="61"/>
    </row>
    <row r="449" spans="1:7" ht="15.75" customHeight="1" x14ac:dyDescent="0.3">
      <c r="A449" s="61"/>
      <c r="B449" s="61"/>
      <c r="C449" s="61"/>
      <c r="E449" s="61"/>
      <c r="G449" s="61"/>
    </row>
    <row r="450" spans="1:7" ht="15.75" customHeight="1" x14ac:dyDescent="0.3">
      <c r="A450" s="61"/>
      <c r="B450" s="61"/>
      <c r="C450" s="61"/>
      <c r="E450" s="61"/>
      <c r="G450" s="61"/>
    </row>
    <row r="451" spans="1:7" ht="15.75" customHeight="1" x14ac:dyDescent="0.3">
      <c r="A451" s="61"/>
      <c r="B451" s="61"/>
      <c r="C451" s="61"/>
      <c r="E451" s="61"/>
      <c r="G451" s="61"/>
    </row>
    <row r="452" spans="1:7" ht="15.75" customHeight="1" x14ac:dyDescent="0.3">
      <c r="A452" s="61"/>
      <c r="B452" s="61"/>
      <c r="C452" s="61"/>
      <c r="E452" s="61"/>
      <c r="G452" s="61"/>
    </row>
    <row r="453" spans="1:7" ht="15.75" customHeight="1" x14ac:dyDescent="0.3">
      <c r="A453" s="61"/>
      <c r="B453" s="61"/>
      <c r="C453" s="61"/>
      <c r="E453" s="61"/>
      <c r="G453" s="61"/>
    </row>
    <row r="454" spans="1:7" ht="15.75" customHeight="1" x14ac:dyDescent="0.3">
      <c r="A454" s="61"/>
      <c r="B454" s="61"/>
      <c r="C454" s="61"/>
      <c r="E454" s="61"/>
      <c r="G454" s="61"/>
    </row>
    <row r="455" spans="1:7" ht="15.75" customHeight="1" x14ac:dyDescent="0.3">
      <c r="A455" s="61"/>
      <c r="B455" s="61"/>
      <c r="C455" s="61"/>
      <c r="E455" s="61"/>
      <c r="G455" s="61"/>
    </row>
    <row r="456" spans="1:7" ht="15.75" customHeight="1" x14ac:dyDescent="0.3">
      <c r="A456" s="61"/>
      <c r="B456" s="61"/>
      <c r="C456" s="61"/>
      <c r="E456" s="61"/>
      <c r="G456" s="61"/>
    </row>
    <row r="457" spans="1:7" ht="15.75" customHeight="1" x14ac:dyDescent="0.3">
      <c r="A457" s="61"/>
      <c r="B457" s="61"/>
      <c r="C457" s="61"/>
      <c r="E457" s="61"/>
      <c r="G457" s="61"/>
    </row>
    <row r="458" spans="1:7" ht="15.75" customHeight="1" x14ac:dyDescent="0.3">
      <c r="A458" s="61"/>
      <c r="B458" s="61"/>
      <c r="C458" s="61"/>
      <c r="E458" s="61"/>
      <c r="G458" s="61"/>
    </row>
    <row r="459" spans="1:7" ht="15.75" customHeight="1" x14ac:dyDescent="0.3">
      <c r="A459" s="61"/>
      <c r="B459" s="61"/>
      <c r="C459" s="61"/>
      <c r="E459" s="61"/>
      <c r="G459" s="61"/>
    </row>
    <row r="460" spans="1:7" ht="15.75" customHeight="1" x14ac:dyDescent="0.3">
      <c r="A460" s="61"/>
      <c r="B460" s="61"/>
      <c r="C460" s="61"/>
      <c r="E460" s="61"/>
      <c r="G460" s="61"/>
    </row>
    <row r="461" spans="1:7" ht="15.75" customHeight="1" x14ac:dyDescent="0.3">
      <c r="A461" s="61"/>
      <c r="B461" s="61"/>
      <c r="C461" s="61"/>
      <c r="E461" s="61"/>
      <c r="G461" s="61"/>
    </row>
    <row r="462" spans="1:7" ht="15.75" customHeight="1" x14ac:dyDescent="0.3">
      <c r="A462" s="61"/>
      <c r="B462" s="61"/>
      <c r="C462" s="61"/>
      <c r="E462" s="61"/>
      <c r="G462" s="61"/>
    </row>
    <row r="463" spans="1:7" ht="15.75" customHeight="1" x14ac:dyDescent="0.3">
      <c r="A463" s="61"/>
      <c r="B463" s="61"/>
      <c r="C463" s="61"/>
      <c r="E463" s="61"/>
      <c r="G463" s="61"/>
    </row>
    <row r="464" spans="1:7" ht="15.75" customHeight="1" x14ac:dyDescent="0.3">
      <c r="A464" s="61"/>
      <c r="B464" s="61"/>
      <c r="C464" s="61"/>
      <c r="E464" s="61"/>
      <c r="G464" s="61"/>
    </row>
    <row r="465" spans="1:7" ht="15.75" customHeight="1" x14ac:dyDescent="0.3">
      <c r="A465" s="61"/>
      <c r="B465" s="61"/>
      <c r="C465" s="61"/>
      <c r="E465" s="61"/>
      <c r="G465" s="61"/>
    </row>
    <row r="466" spans="1:7" ht="15.75" customHeight="1" x14ac:dyDescent="0.3">
      <c r="A466" s="61"/>
      <c r="B466" s="61"/>
      <c r="C466" s="61"/>
      <c r="E466" s="61"/>
      <c r="G466" s="61"/>
    </row>
    <row r="467" spans="1:7" ht="15.75" customHeight="1" x14ac:dyDescent="0.3">
      <c r="A467" s="61"/>
      <c r="B467" s="61"/>
      <c r="C467" s="61"/>
      <c r="E467" s="61"/>
      <c r="G467" s="61"/>
    </row>
    <row r="468" spans="1:7" ht="15.75" customHeight="1" x14ac:dyDescent="0.3">
      <c r="A468" s="61"/>
      <c r="B468" s="61"/>
      <c r="C468" s="61"/>
      <c r="E468" s="61"/>
      <c r="G468" s="61"/>
    </row>
    <row r="469" spans="1:7" ht="15.75" customHeight="1" x14ac:dyDescent="0.3">
      <c r="A469" s="61"/>
      <c r="B469" s="61"/>
      <c r="C469" s="61"/>
      <c r="E469" s="61"/>
      <c r="G469" s="61"/>
    </row>
    <row r="470" spans="1:7" ht="15.75" customHeight="1" x14ac:dyDescent="0.3">
      <c r="A470" s="61"/>
      <c r="B470" s="61"/>
      <c r="C470" s="61"/>
      <c r="E470" s="61"/>
      <c r="G470" s="61"/>
    </row>
    <row r="471" spans="1:7" ht="15.75" customHeight="1" x14ac:dyDescent="0.3">
      <c r="A471" s="61"/>
      <c r="B471" s="61"/>
      <c r="C471" s="61"/>
      <c r="E471" s="61"/>
      <c r="G471" s="61"/>
    </row>
    <row r="472" spans="1:7" ht="15.75" customHeight="1" x14ac:dyDescent="0.3">
      <c r="A472" s="61"/>
      <c r="B472" s="61"/>
      <c r="C472" s="61"/>
      <c r="E472" s="61"/>
      <c r="G472" s="61"/>
    </row>
    <row r="473" spans="1:7" ht="15.75" customHeight="1" x14ac:dyDescent="0.3">
      <c r="A473" s="61"/>
      <c r="B473" s="61"/>
      <c r="C473" s="61"/>
      <c r="E473" s="61"/>
      <c r="G473" s="61"/>
    </row>
    <row r="474" spans="1:7" ht="15.75" customHeight="1" x14ac:dyDescent="0.3">
      <c r="A474" s="61"/>
      <c r="B474" s="61"/>
      <c r="C474" s="61"/>
      <c r="E474" s="61"/>
      <c r="G474" s="61"/>
    </row>
    <row r="475" spans="1:7" ht="15.75" customHeight="1" x14ac:dyDescent="0.3">
      <c r="A475" s="61"/>
      <c r="B475" s="61"/>
      <c r="C475" s="61"/>
      <c r="E475" s="61"/>
      <c r="G475" s="61"/>
    </row>
    <row r="476" spans="1:7" ht="15.75" customHeight="1" x14ac:dyDescent="0.3">
      <c r="A476" s="61"/>
      <c r="B476" s="61"/>
      <c r="C476" s="61"/>
      <c r="E476" s="61"/>
      <c r="G476" s="61"/>
    </row>
    <row r="477" spans="1:7" ht="15.75" customHeight="1" x14ac:dyDescent="0.3">
      <c r="A477" s="61"/>
      <c r="B477" s="61"/>
      <c r="C477" s="61"/>
      <c r="E477" s="61"/>
      <c r="G477" s="61"/>
    </row>
    <row r="478" spans="1:7" ht="15.75" customHeight="1" x14ac:dyDescent="0.3">
      <c r="A478" s="61"/>
      <c r="B478" s="61"/>
      <c r="C478" s="61"/>
      <c r="E478" s="61"/>
      <c r="G478" s="61"/>
    </row>
    <row r="479" spans="1:7" ht="15.75" customHeight="1" x14ac:dyDescent="0.3">
      <c r="A479" s="61"/>
      <c r="B479" s="61"/>
      <c r="C479" s="61"/>
      <c r="E479" s="61"/>
      <c r="G479" s="61"/>
    </row>
    <row r="480" spans="1:7" ht="15.75" customHeight="1" x14ac:dyDescent="0.3">
      <c r="A480" s="61"/>
      <c r="B480" s="61"/>
      <c r="C480" s="61"/>
      <c r="E480" s="61"/>
      <c r="G480" s="61"/>
    </row>
    <row r="481" spans="1:7" ht="15.75" customHeight="1" x14ac:dyDescent="0.3">
      <c r="A481" s="61"/>
      <c r="B481" s="61"/>
      <c r="C481" s="61"/>
      <c r="E481" s="61"/>
      <c r="G481" s="61"/>
    </row>
    <row r="482" spans="1:7" ht="15.75" customHeight="1" x14ac:dyDescent="0.3">
      <c r="A482" s="61"/>
      <c r="B482" s="61"/>
      <c r="C482" s="61"/>
      <c r="E482" s="61"/>
      <c r="G482" s="61"/>
    </row>
    <row r="483" spans="1:7" ht="15.75" customHeight="1" x14ac:dyDescent="0.3">
      <c r="A483" s="61"/>
      <c r="B483" s="61"/>
      <c r="C483" s="61"/>
      <c r="E483" s="61"/>
      <c r="G483" s="61"/>
    </row>
    <row r="484" spans="1:7" ht="15.75" customHeight="1" x14ac:dyDescent="0.3">
      <c r="A484" s="61"/>
      <c r="B484" s="61"/>
      <c r="C484" s="61"/>
      <c r="E484" s="61"/>
      <c r="G484" s="61"/>
    </row>
    <row r="485" spans="1:7" ht="15.75" customHeight="1" x14ac:dyDescent="0.3">
      <c r="A485" s="61"/>
      <c r="B485" s="61"/>
      <c r="C485" s="61"/>
      <c r="E485" s="61"/>
      <c r="G485" s="61"/>
    </row>
    <row r="486" spans="1:7" ht="15.75" customHeight="1" x14ac:dyDescent="0.3">
      <c r="A486" s="61"/>
      <c r="B486" s="61"/>
      <c r="C486" s="61"/>
      <c r="E486" s="61"/>
      <c r="G486" s="61"/>
    </row>
    <row r="487" spans="1:7" ht="15.75" customHeight="1" x14ac:dyDescent="0.3">
      <c r="A487" s="61"/>
      <c r="B487" s="61"/>
      <c r="C487" s="61"/>
      <c r="E487" s="61"/>
      <c r="G487" s="61"/>
    </row>
    <row r="488" spans="1:7" ht="15.75" customHeight="1" x14ac:dyDescent="0.3">
      <c r="A488" s="61"/>
      <c r="B488" s="61"/>
      <c r="C488" s="61"/>
      <c r="E488" s="61"/>
      <c r="G488" s="61"/>
    </row>
    <row r="489" spans="1:7" ht="15.75" customHeight="1" x14ac:dyDescent="0.3">
      <c r="A489" s="61"/>
      <c r="B489" s="61"/>
      <c r="C489" s="61"/>
      <c r="E489" s="61"/>
      <c r="G489" s="61"/>
    </row>
    <row r="490" spans="1:7" ht="15.75" customHeight="1" x14ac:dyDescent="0.3">
      <c r="A490" s="61"/>
      <c r="B490" s="61"/>
      <c r="C490" s="61"/>
      <c r="E490" s="61"/>
      <c r="G490" s="61"/>
    </row>
    <row r="491" spans="1:7" ht="15.75" customHeight="1" x14ac:dyDescent="0.3">
      <c r="A491" s="61"/>
      <c r="B491" s="61"/>
      <c r="C491" s="61"/>
      <c r="E491" s="61"/>
      <c r="G491" s="61"/>
    </row>
    <row r="492" spans="1:7" ht="15.75" customHeight="1" x14ac:dyDescent="0.3">
      <c r="A492" s="61"/>
      <c r="B492" s="61"/>
      <c r="C492" s="61"/>
      <c r="E492" s="61"/>
      <c r="G492" s="61"/>
    </row>
    <row r="493" spans="1:7" ht="15.75" customHeight="1" x14ac:dyDescent="0.3">
      <c r="A493" s="61"/>
      <c r="B493" s="61"/>
      <c r="C493" s="61"/>
      <c r="E493" s="61"/>
      <c r="G493" s="61"/>
    </row>
    <row r="494" spans="1:7" ht="15.75" customHeight="1" x14ac:dyDescent="0.3">
      <c r="A494" s="61"/>
      <c r="B494" s="61"/>
      <c r="C494" s="61"/>
      <c r="E494" s="61"/>
      <c r="G494" s="61"/>
    </row>
    <row r="495" spans="1:7" ht="15.75" customHeight="1" x14ac:dyDescent="0.3">
      <c r="A495" s="61"/>
      <c r="B495" s="61"/>
      <c r="C495" s="61"/>
      <c r="E495" s="61"/>
      <c r="G495" s="61"/>
    </row>
    <row r="496" spans="1:7" ht="15.75" customHeight="1" x14ac:dyDescent="0.3">
      <c r="A496" s="61"/>
      <c r="B496" s="61"/>
      <c r="C496" s="61"/>
      <c r="E496" s="61"/>
      <c r="G496" s="61"/>
    </row>
    <row r="497" spans="1:7" ht="15.75" customHeight="1" x14ac:dyDescent="0.3">
      <c r="A497" s="61"/>
      <c r="B497" s="61"/>
      <c r="C497" s="61"/>
      <c r="E497" s="61"/>
      <c r="G497" s="61"/>
    </row>
    <row r="498" spans="1:7" ht="15.75" customHeight="1" x14ac:dyDescent="0.3">
      <c r="A498" s="61"/>
      <c r="B498" s="61"/>
      <c r="C498" s="61"/>
      <c r="E498" s="61"/>
      <c r="G498" s="61"/>
    </row>
    <row r="499" spans="1:7" ht="15.75" customHeight="1" x14ac:dyDescent="0.3">
      <c r="A499" s="61"/>
      <c r="B499" s="61"/>
      <c r="C499" s="61"/>
      <c r="E499" s="61"/>
      <c r="G499" s="61"/>
    </row>
    <row r="500" spans="1:7" ht="15.75" customHeight="1" x14ac:dyDescent="0.3">
      <c r="A500" s="61"/>
      <c r="B500" s="61"/>
      <c r="C500" s="61"/>
      <c r="E500" s="61"/>
      <c r="G500" s="61"/>
    </row>
    <row r="501" spans="1:7" ht="15.75" customHeight="1" x14ac:dyDescent="0.3">
      <c r="A501" s="61"/>
      <c r="B501" s="61"/>
      <c r="C501" s="61"/>
      <c r="E501" s="61"/>
      <c r="G501" s="61"/>
    </row>
    <row r="502" spans="1:7" ht="15.75" customHeight="1" x14ac:dyDescent="0.3">
      <c r="A502" s="61"/>
      <c r="B502" s="61"/>
      <c r="C502" s="61"/>
      <c r="E502" s="61"/>
      <c r="G502" s="61"/>
    </row>
    <row r="503" spans="1:7" ht="15.75" customHeight="1" x14ac:dyDescent="0.3">
      <c r="A503" s="61"/>
      <c r="B503" s="61"/>
      <c r="C503" s="61"/>
      <c r="E503" s="61"/>
      <c r="G503" s="61"/>
    </row>
    <row r="504" spans="1:7" ht="15.75" customHeight="1" x14ac:dyDescent="0.3">
      <c r="A504" s="61"/>
      <c r="B504" s="61"/>
      <c r="C504" s="61"/>
      <c r="E504" s="61"/>
      <c r="G504" s="61"/>
    </row>
    <row r="505" spans="1:7" ht="15.75" customHeight="1" x14ac:dyDescent="0.3">
      <c r="A505" s="61"/>
      <c r="B505" s="61"/>
      <c r="C505" s="61"/>
      <c r="E505" s="61"/>
      <c r="G505" s="61"/>
    </row>
    <row r="506" spans="1:7" ht="15.75" customHeight="1" x14ac:dyDescent="0.3">
      <c r="A506" s="61"/>
      <c r="B506" s="61"/>
      <c r="C506" s="61"/>
      <c r="E506" s="61"/>
      <c r="G506" s="61"/>
    </row>
    <row r="507" spans="1:7" ht="15.75" customHeight="1" x14ac:dyDescent="0.3">
      <c r="A507" s="61"/>
      <c r="B507" s="61"/>
      <c r="C507" s="61"/>
      <c r="E507" s="61"/>
      <c r="G507" s="61"/>
    </row>
    <row r="508" spans="1:7" ht="15.75" customHeight="1" x14ac:dyDescent="0.3">
      <c r="A508" s="61"/>
      <c r="B508" s="61"/>
      <c r="C508" s="61"/>
      <c r="E508" s="61"/>
      <c r="G508" s="61"/>
    </row>
    <row r="509" spans="1:7" ht="15.75" customHeight="1" x14ac:dyDescent="0.3">
      <c r="A509" s="61"/>
      <c r="B509" s="61"/>
      <c r="C509" s="61"/>
      <c r="E509" s="61"/>
      <c r="G509" s="61"/>
    </row>
    <row r="510" spans="1:7" ht="15.75" customHeight="1" x14ac:dyDescent="0.3">
      <c r="A510" s="61"/>
      <c r="B510" s="61"/>
      <c r="C510" s="61"/>
      <c r="E510" s="61"/>
      <c r="G510" s="61"/>
    </row>
    <row r="511" spans="1:7" ht="15.75" customHeight="1" x14ac:dyDescent="0.3">
      <c r="A511" s="61"/>
      <c r="B511" s="61"/>
      <c r="C511" s="61"/>
      <c r="E511" s="61"/>
      <c r="G511" s="61"/>
    </row>
    <row r="512" spans="1:7" ht="15.75" customHeight="1" x14ac:dyDescent="0.3">
      <c r="A512" s="61"/>
      <c r="B512" s="61"/>
      <c r="C512" s="61"/>
      <c r="E512" s="61"/>
      <c r="G512" s="61"/>
    </row>
    <row r="513" spans="1:7" ht="15.75" customHeight="1" x14ac:dyDescent="0.3">
      <c r="A513" s="61"/>
      <c r="B513" s="61"/>
      <c r="C513" s="61"/>
      <c r="E513" s="61"/>
      <c r="G513" s="61"/>
    </row>
    <row r="514" spans="1:7" ht="15.75" customHeight="1" x14ac:dyDescent="0.3">
      <c r="A514" s="61"/>
      <c r="B514" s="61"/>
      <c r="C514" s="61"/>
      <c r="E514" s="61"/>
      <c r="G514" s="61"/>
    </row>
    <row r="515" spans="1:7" ht="15.75" customHeight="1" x14ac:dyDescent="0.3">
      <c r="A515" s="61"/>
      <c r="B515" s="61"/>
      <c r="C515" s="61"/>
      <c r="E515" s="61"/>
      <c r="G515" s="61"/>
    </row>
    <row r="516" spans="1:7" ht="15.75" customHeight="1" x14ac:dyDescent="0.3">
      <c r="A516" s="61"/>
      <c r="B516" s="61"/>
      <c r="C516" s="61"/>
      <c r="E516" s="61"/>
      <c r="G516" s="61"/>
    </row>
    <row r="517" spans="1:7" ht="15.75" customHeight="1" x14ac:dyDescent="0.3">
      <c r="A517" s="61"/>
      <c r="B517" s="61"/>
      <c r="C517" s="61"/>
      <c r="E517" s="61"/>
      <c r="G517" s="61"/>
    </row>
    <row r="518" spans="1:7" ht="15.75" customHeight="1" x14ac:dyDescent="0.3">
      <c r="A518" s="61"/>
      <c r="B518" s="61"/>
      <c r="C518" s="61"/>
      <c r="E518" s="61"/>
      <c r="G518" s="61"/>
    </row>
    <row r="519" spans="1:7" ht="15.75" customHeight="1" x14ac:dyDescent="0.3">
      <c r="A519" s="61"/>
      <c r="B519" s="61"/>
      <c r="C519" s="61"/>
      <c r="E519" s="61"/>
      <c r="G519" s="61"/>
    </row>
    <row r="520" spans="1:7" ht="15.75" customHeight="1" x14ac:dyDescent="0.3">
      <c r="A520" s="61"/>
      <c r="B520" s="61"/>
      <c r="C520" s="61"/>
      <c r="E520" s="61"/>
      <c r="G520" s="61"/>
    </row>
    <row r="521" spans="1:7" ht="15.75" customHeight="1" x14ac:dyDescent="0.3">
      <c r="A521" s="61"/>
      <c r="B521" s="61"/>
      <c r="C521" s="61"/>
      <c r="E521" s="61"/>
      <c r="G521" s="61"/>
    </row>
    <row r="522" spans="1:7" ht="15.75" customHeight="1" x14ac:dyDescent="0.3">
      <c r="A522" s="61"/>
      <c r="B522" s="61"/>
      <c r="C522" s="61"/>
      <c r="E522" s="61"/>
      <c r="G522" s="61"/>
    </row>
    <row r="523" spans="1:7" ht="15.75" customHeight="1" x14ac:dyDescent="0.3">
      <c r="A523" s="61"/>
      <c r="B523" s="61"/>
      <c r="C523" s="61"/>
      <c r="E523" s="61"/>
      <c r="G523" s="61"/>
    </row>
    <row r="524" spans="1:7" ht="15.75" customHeight="1" x14ac:dyDescent="0.3">
      <c r="A524" s="61"/>
      <c r="B524" s="61"/>
      <c r="C524" s="61"/>
      <c r="E524" s="61"/>
      <c r="G524" s="61"/>
    </row>
    <row r="525" spans="1:7" ht="15.75" customHeight="1" x14ac:dyDescent="0.3">
      <c r="A525" s="61"/>
      <c r="B525" s="61"/>
      <c r="C525" s="61"/>
      <c r="E525" s="61"/>
      <c r="G525" s="61"/>
    </row>
    <row r="526" spans="1:7" ht="15.75" customHeight="1" x14ac:dyDescent="0.3">
      <c r="A526" s="61"/>
      <c r="B526" s="61"/>
      <c r="C526" s="61"/>
      <c r="E526" s="61"/>
      <c r="G526" s="61"/>
    </row>
    <row r="527" spans="1:7" ht="15.75" customHeight="1" x14ac:dyDescent="0.3">
      <c r="A527" s="61"/>
      <c r="B527" s="61"/>
      <c r="C527" s="61"/>
      <c r="E527" s="61"/>
      <c r="G527" s="61"/>
    </row>
    <row r="528" spans="1:7" ht="15.75" customHeight="1" x14ac:dyDescent="0.3">
      <c r="A528" s="61"/>
      <c r="B528" s="61"/>
      <c r="C528" s="61"/>
      <c r="E528" s="61"/>
      <c r="G528" s="61"/>
    </row>
    <row r="529" spans="1:7" ht="15.75" customHeight="1" x14ac:dyDescent="0.3">
      <c r="A529" s="61"/>
      <c r="B529" s="61"/>
      <c r="C529" s="61"/>
      <c r="E529" s="61"/>
      <c r="G529" s="61"/>
    </row>
    <row r="530" spans="1:7" ht="15.75" customHeight="1" x14ac:dyDescent="0.3">
      <c r="A530" s="61"/>
      <c r="B530" s="61"/>
      <c r="C530" s="61"/>
      <c r="E530" s="61"/>
      <c r="G530" s="61"/>
    </row>
    <row r="531" spans="1:7" ht="15.75" customHeight="1" x14ac:dyDescent="0.3">
      <c r="A531" s="61"/>
      <c r="B531" s="61"/>
      <c r="C531" s="61"/>
      <c r="E531" s="61"/>
      <c r="G531" s="61"/>
    </row>
    <row r="532" spans="1:7" ht="15.75" customHeight="1" x14ac:dyDescent="0.3">
      <c r="A532" s="61"/>
      <c r="B532" s="61"/>
      <c r="C532" s="61"/>
      <c r="E532" s="61"/>
      <c r="G532" s="61"/>
    </row>
    <row r="533" spans="1:7" ht="15.75" customHeight="1" x14ac:dyDescent="0.3">
      <c r="A533" s="61"/>
      <c r="B533" s="61"/>
      <c r="C533" s="61"/>
      <c r="E533" s="61"/>
      <c r="G533" s="61"/>
    </row>
    <row r="534" spans="1:7" ht="15.75" customHeight="1" x14ac:dyDescent="0.3">
      <c r="A534" s="61"/>
      <c r="B534" s="61"/>
      <c r="C534" s="61"/>
      <c r="E534" s="61"/>
      <c r="G534" s="61"/>
    </row>
    <row r="535" spans="1:7" ht="15.75" customHeight="1" x14ac:dyDescent="0.3">
      <c r="A535" s="61"/>
      <c r="B535" s="61"/>
      <c r="C535" s="61"/>
      <c r="E535" s="61"/>
      <c r="G535" s="61"/>
    </row>
    <row r="536" spans="1:7" ht="15.75" customHeight="1" x14ac:dyDescent="0.3">
      <c r="A536" s="61"/>
      <c r="B536" s="61"/>
      <c r="C536" s="61"/>
      <c r="E536" s="61"/>
      <c r="G536" s="61"/>
    </row>
    <row r="537" spans="1:7" ht="15.75" customHeight="1" x14ac:dyDescent="0.3">
      <c r="A537" s="61"/>
      <c r="B537" s="61"/>
      <c r="C537" s="61"/>
      <c r="E537" s="61"/>
      <c r="G537" s="61"/>
    </row>
    <row r="538" spans="1:7" ht="15.75" customHeight="1" x14ac:dyDescent="0.3">
      <c r="A538" s="61"/>
      <c r="B538" s="61"/>
      <c r="C538" s="61"/>
      <c r="E538" s="61"/>
      <c r="G538" s="61"/>
    </row>
    <row r="539" spans="1:7" ht="15.75" customHeight="1" x14ac:dyDescent="0.3">
      <c r="A539" s="61"/>
      <c r="B539" s="61"/>
      <c r="C539" s="61"/>
      <c r="E539" s="61"/>
      <c r="G539" s="61"/>
    </row>
    <row r="540" spans="1:7" ht="15.75" customHeight="1" x14ac:dyDescent="0.3">
      <c r="A540" s="61"/>
      <c r="B540" s="61"/>
      <c r="C540" s="61"/>
      <c r="E540" s="61"/>
      <c r="G540" s="61"/>
    </row>
    <row r="541" spans="1:7" ht="15.75" customHeight="1" x14ac:dyDescent="0.3">
      <c r="A541" s="61"/>
      <c r="B541" s="61"/>
      <c r="C541" s="61"/>
      <c r="E541" s="61"/>
      <c r="G541" s="61"/>
    </row>
    <row r="542" spans="1:7" ht="15.75" customHeight="1" x14ac:dyDescent="0.3">
      <c r="A542" s="61"/>
      <c r="B542" s="61"/>
      <c r="C542" s="61"/>
      <c r="E542" s="61"/>
      <c r="G542" s="61"/>
    </row>
    <row r="543" spans="1:7" ht="15.75" customHeight="1" x14ac:dyDescent="0.3">
      <c r="A543" s="61"/>
      <c r="B543" s="61"/>
      <c r="C543" s="61"/>
      <c r="E543" s="61"/>
      <c r="G543" s="61"/>
    </row>
    <row r="544" spans="1:7" ht="15.75" customHeight="1" x14ac:dyDescent="0.3">
      <c r="A544" s="61"/>
      <c r="B544" s="61"/>
      <c r="C544" s="61"/>
      <c r="E544" s="61"/>
      <c r="G544" s="61"/>
    </row>
    <row r="545" spans="1:7" ht="15.75" customHeight="1" x14ac:dyDescent="0.3">
      <c r="A545" s="61"/>
      <c r="B545" s="61"/>
      <c r="C545" s="61"/>
      <c r="E545" s="61"/>
      <c r="G545" s="61"/>
    </row>
    <row r="546" spans="1:7" ht="15.75" customHeight="1" x14ac:dyDescent="0.3">
      <c r="A546" s="61"/>
      <c r="B546" s="61"/>
      <c r="C546" s="61"/>
      <c r="E546" s="61"/>
      <c r="G546" s="61"/>
    </row>
    <row r="547" spans="1:7" ht="15.75" customHeight="1" x14ac:dyDescent="0.3">
      <c r="A547" s="61"/>
      <c r="B547" s="61"/>
      <c r="C547" s="61"/>
      <c r="E547" s="61"/>
      <c r="G547" s="61"/>
    </row>
    <row r="548" spans="1:7" ht="15.75" customHeight="1" x14ac:dyDescent="0.3">
      <c r="A548" s="61"/>
      <c r="B548" s="61"/>
      <c r="C548" s="61"/>
      <c r="E548" s="61"/>
      <c r="G548" s="61"/>
    </row>
    <row r="549" spans="1:7" ht="15.75" customHeight="1" x14ac:dyDescent="0.3">
      <c r="A549" s="61"/>
      <c r="B549" s="61"/>
      <c r="C549" s="61"/>
      <c r="E549" s="61"/>
      <c r="G549" s="61"/>
    </row>
    <row r="550" spans="1:7" ht="15.75" customHeight="1" x14ac:dyDescent="0.3">
      <c r="A550" s="61"/>
      <c r="B550" s="61"/>
      <c r="C550" s="61"/>
      <c r="E550" s="61"/>
      <c r="G550" s="61"/>
    </row>
    <row r="551" spans="1:7" ht="15.75" customHeight="1" x14ac:dyDescent="0.3">
      <c r="A551" s="61"/>
      <c r="B551" s="61"/>
      <c r="C551" s="61"/>
      <c r="E551" s="61"/>
      <c r="G551" s="61"/>
    </row>
    <row r="552" spans="1:7" ht="15.75" customHeight="1" x14ac:dyDescent="0.3">
      <c r="A552" s="61"/>
      <c r="B552" s="61"/>
      <c r="C552" s="61"/>
      <c r="E552" s="61"/>
      <c r="G552" s="61"/>
    </row>
    <row r="553" spans="1:7" ht="15.75" customHeight="1" x14ac:dyDescent="0.3">
      <c r="A553" s="61"/>
      <c r="B553" s="61"/>
      <c r="C553" s="61"/>
      <c r="E553" s="61"/>
      <c r="G553" s="61"/>
    </row>
    <row r="554" spans="1:7" ht="15.75" customHeight="1" x14ac:dyDescent="0.3">
      <c r="A554" s="61"/>
      <c r="B554" s="61"/>
      <c r="C554" s="61"/>
      <c r="E554" s="61"/>
      <c r="G554" s="61"/>
    </row>
    <row r="555" spans="1:7" ht="15.75" customHeight="1" x14ac:dyDescent="0.3">
      <c r="A555" s="61"/>
      <c r="B555" s="61"/>
      <c r="C555" s="61"/>
      <c r="E555" s="61"/>
      <c r="G555" s="61"/>
    </row>
    <row r="556" spans="1:7" ht="15.75" customHeight="1" x14ac:dyDescent="0.3">
      <c r="A556" s="61"/>
      <c r="B556" s="61"/>
      <c r="C556" s="61"/>
      <c r="E556" s="61"/>
      <c r="G556" s="61"/>
    </row>
    <row r="557" spans="1:7" ht="15.75" customHeight="1" x14ac:dyDescent="0.3">
      <c r="A557" s="61"/>
      <c r="B557" s="61"/>
      <c r="C557" s="61"/>
      <c r="E557" s="61"/>
      <c r="G557" s="61"/>
    </row>
    <row r="558" spans="1:7" ht="15.75" customHeight="1" x14ac:dyDescent="0.3">
      <c r="A558" s="61"/>
      <c r="B558" s="61"/>
      <c r="C558" s="61"/>
      <c r="E558" s="61"/>
      <c r="G558" s="61"/>
    </row>
    <row r="559" spans="1:7" ht="15.75" customHeight="1" x14ac:dyDescent="0.3">
      <c r="A559" s="61"/>
      <c r="B559" s="61"/>
      <c r="C559" s="61"/>
      <c r="E559" s="61"/>
      <c r="G559" s="61"/>
    </row>
    <row r="560" spans="1:7" ht="15.75" customHeight="1" x14ac:dyDescent="0.3">
      <c r="A560" s="61"/>
      <c r="B560" s="61"/>
      <c r="C560" s="61"/>
      <c r="E560" s="61"/>
      <c r="G560" s="61"/>
    </row>
    <row r="561" spans="1:7" ht="15.75" customHeight="1" x14ac:dyDescent="0.3">
      <c r="A561" s="61"/>
      <c r="B561" s="61"/>
      <c r="C561" s="61"/>
      <c r="E561" s="61"/>
      <c r="G561" s="61"/>
    </row>
    <row r="562" spans="1:7" ht="15.75" customHeight="1" x14ac:dyDescent="0.3">
      <c r="A562" s="61"/>
      <c r="B562" s="61"/>
      <c r="C562" s="61"/>
      <c r="E562" s="61"/>
      <c r="G562" s="61"/>
    </row>
    <row r="563" spans="1:7" ht="15.75" customHeight="1" x14ac:dyDescent="0.3">
      <c r="A563" s="61"/>
      <c r="B563" s="61"/>
      <c r="C563" s="61"/>
      <c r="E563" s="61"/>
      <c r="G563" s="61"/>
    </row>
    <row r="564" spans="1:7" ht="15.75" customHeight="1" x14ac:dyDescent="0.3">
      <c r="A564" s="61"/>
      <c r="B564" s="61"/>
      <c r="C564" s="61"/>
      <c r="E564" s="61"/>
      <c r="G564" s="61"/>
    </row>
    <row r="565" spans="1:7" ht="15.75" customHeight="1" x14ac:dyDescent="0.3">
      <c r="A565" s="61"/>
      <c r="B565" s="61"/>
      <c r="C565" s="61"/>
      <c r="E565" s="61"/>
      <c r="G565" s="61"/>
    </row>
    <row r="566" spans="1:7" ht="15.75" customHeight="1" x14ac:dyDescent="0.3">
      <c r="A566" s="61"/>
      <c r="B566" s="61"/>
      <c r="C566" s="61"/>
      <c r="E566" s="61"/>
      <c r="G566" s="61"/>
    </row>
    <row r="567" spans="1:7" ht="15.75" customHeight="1" x14ac:dyDescent="0.3">
      <c r="A567" s="61"/>
      <c r="B567" s="61"/>
      <c r="C567" s="61"/>
      <c r="E567" s="61"/>
      <c r="G567" s="61"/>
    </row>
    <row r="568" spans="1:7" ht="15.75" customHeight="1" x14ac:dyDescent="0.3">
      <c r="A568" s="61"/>
      <c r="B568" s="61"/>
      <c r="C568" s="61"/>
      <c r="E568" s="61"/>
      <c r="G568" s="61"/>
    </row>
    <row r="569" spans="1:7" ht="15.75" customHeight="1" x14ac:dyDescent="0.3">
      <c r="A569" s="61"/>
      <c r="B569" s="61"/>
      <c r="C569" s="61"/>
      <c r="E569" s="61"/>
      <c r="G569" s="61"/>
    </row>
    <row r="570" spans="1:7" ht="15.75" customHeight="1" x14ac:dyDescent="0.3">
      <c r="A570" s="61"/>
      <c r="B570" s="61"/>
      <c r="C570" s="61"/>
      <c r="E570" s="61"/>
      <c r="G570" s="61"/>
    </row>
    <row r="571" spans="1:7" ht="15.75" customHeight="1" x14ac:dyDescent="0.3">
      <c r="A571" s="61"/>
      <c r="B571" s="61"/>
      <c r="C571" s="61"/>
      <c r="E571" s="61"/>
      <c r="G571" s="61"/>
    </row>
    <row r="572" spans="1:7" ht="15.75" customHeight="1" x14ac:dyDescent="0.3">
      <c r="A572" s="61"/>
      <c r="B572" s="61"/>
      <c r="C572" s="61"/>
      <c r="E572" s="61"/>
      <c r="G572" s="61"/>
    </row>
    <row r="573" spans="1:7" ht="15.75" customHeight="1" x14ac:dyDescent="0.3">
      <c r="A573" s="61"/>
      <c r="B573" s="61"/>
      <c r="C573" s="61"/>
      <c r="E573" s="61"/>
      <c r="G573" s="61"/>
    </row>
    <row r="574" spans="1:7" ht="15.75" customHeight="1" x14ac:dyDescent="0.3">
      <c r="A574" s="61"/>
      <c r="B574" s="61"/>
      <c r="C574" s="61"/>
      <c r="E574" s="61"/>
      <c r="G574" s="61"/>
    </row>
    <row r="575" spans="1:7" ht="15.75" customHeight="1" x14ac:dyDescent="0.3">
      <c r="A575" s="61"/>
      <c r="B575" s="61"/>
      <c r="C575" s="61"/>
      <c r="E575" s="61"/>
      <c r="G575" s="61"/>
    </row>
    <row r="576" spans="1:7" ht="15.75" customHeight="1" x14ac:dyDescent="0.3">
      <c r="A576" s="61"/>
      <c r="B576" s="61"/>
      <c r="C576" s="61"/>
      <c r="E576" s="61"/>
      <c r="G576" s="61"/>
    </row>
    <row r="577" spans="1:7" ht="15.75" customHeight="1" x14ac:dyDescent="0.3">
      <c r="A577" s="61"/>
      <c r="B577" s="61"/>
      <c r="C577" s="61"/>
      <c r="E577" s="61"/>
      <c r="G577" s="61"/>
    </row>
    <row r="578" spans="1:7" ht="15.75" customHeight="1" x14ac:dyDescent="0.3">
      <c r="A578" s="61"/>
      <c r="B578" s="61"/>
      <c r="C578" s="61"/>
      <c r="E578" s="61"/>
      <c r="G578" s="61"/>
    </row>
    <row r="579" spans="1:7" ht="15.75" customHeight="1" x14ac:dyDescent="0.3">
      <c r="A579" s="61"/>
      <c r="B579" s="61"/>
      <c r="C579" s="61"/>
      <c r="E579" s="61"/>
      <c r="G579" s="61"/>
    </row>
    <row r="580" spans="1:7" ht="15.75" customHeight="1" x14ac:dyDescent="0.3">
      <c r="A580" s="61"/>
      <c r="B580" s="61"/>
      <c r="C580" s="61"/>
      <c r="E580" s="61"/>
      <c r="G580" s="61"/>
    </row>
    <row r="581" spans="1:7" ht="15.75" customHeight="1" x14ac:dyDescent="0.3">
      <c r="A581" s="61"/>
      <c r="B581" s="61"/>
      <c r="C581" s="61"/>
      <c r="E581" s="61"/>
      <c r="G581" s="61"/>
    </row>
    <row r="582" spans="1:7" ht="15.75" customHeight="1" x14ac:dyDescent="0.3">
      <c r="A582" s="61"/>
      <c r="B582" s="61"/>
      <c r="C582" s="61"/>
      <c r="E582" s="61"/>
      <c r="G582" s="61"/>
    </row>
    <row r="583" spans="1:7" ht="15.75" customHeight="1" x14ac:dyDescent="0.3">
      <c r="A583" s="61"/>
      <c r="B583" s="61"/>
      <c r="C583" s="61"/>
      <c r="E583" s="61"/>
      <c r="G583" s="61"/>
    </row>
    <row r="584" spans="1:7" ht="15.75" customHeight="1" x14ac:dyDescent="0.3">
      <c r="A584" s="61"/>
      <c r="B584" s="61"/>
      <c r="C584" s="61"/>
      <c r="E584" s="61"/>
      <c r="G584" s="61"/>
    </row>
    <row r="585" spans="1:7" ht="15.75" customHeight="1" x14ac:dyDescent="0.3">
      <c r="A585" s="61"/>
      <c r="B585" s="61"/>
      <c r="C585" s="61"/>
      <c r="E585" s="61"/>
      <c r="G585" s="61"/>
    </row>
    <row r="586" spans="1:7" ht="15.75" customHeight="1" x14ac:dyDescent="0.3">
      <c r="A586" s="61"/>
      <c r="B586" s="61"/>
      <c r="C586" s="61"/>
      <c r="E586" s="61"/>
      <c r="G586" s="61"/>
    </row>
    <row r="587" spans="1:7" ht="15.75" customHeight="1" x14ac:dyDescent="0.3">
      <c r="A587" s="61"/>
      <c r="B587" s="61"/>
      <c r="C587" s="61"/>
      <c r="E587" s="61"/>
      <c r="G587" s="61"/>
    </row>
    <row r="588" spans="1:7" ht="15.75" customHeight="1" x14ac:dyDescent="0.3">
      <c r="A588" s="61"/>
      <c r="B588" s="61"/>
      <c r="C588" s="61"/>
      <c r="E588" s="61"/>
      <c r="G588" s="61"/>
    </row>
    <row r="589" spans="1:7" ht="15.75" customHeight="1" x14ac:dyDescent="0.3">
      <c r="A589" s="61"/>
      <c r="B589" s="61"/>
      <c r="C589" s="61"/>
      <c r="E589" s="61"/>
      <c r="G589" s="61"/>
    </row>
    <row r="590" spans="1:7" ht="15.75" customHeight="1" x14ac:dyDescent="0.3">
      <c r="A590" s="61"/>
      <c r="B590" s="61"/>
      <c r="C590" s="61"/>
      <c r="E590" s="61"/>
      <c r="G590" s="61"/>
    </row>
    <row r="591" spans="1:7" ht="15.75" customHeight="1" x14ac:dyDescent="0.3">
      <c r="A591" s="61"/>
      <c r="B591" s="61"/>
      <c r="C591" s="61"/>
      <c r="E591" s="61"/>
      <c r="G591" s="61"/>
    </row>
    <row r="592" spans="1:7" ht="15.75" customHeight="1" x14ac:dyDescent="0.3">
      <c r="A592" s="61"/>
      <c r="B592" s="61"/>
      <c r="C592" s="61"/>
      <c r="E592" s="61"/>
      <c r="G592" s="61"/>
    </row>
    <row r="593" spans="1:7" ht="15.75" customHeight="1" x14ac:dyDescent="0.3">
      <c r="A593" s="61"/>
      <c r="B593" s="61"/>
      <c r="C593" s="61"/>
      <c r="E593" s="61"/>
      <c r="G593" s="61"/>
    </row>
    <row r="594" spans="1:7" ht="15.75" customHeight="1" x14ac:dyDescent="0.3">
      <c r="A594" s="61"/>
      <c r="B594" s="61"/>
      <c r="C594" s="61"/>
      <c r="E594" s="61"/>
      <c r="G594" s="61"/>
    </row>
    <row r="595" spans="1:7" ht="15.75" customHeight="1" x14ac:dyDescent="0.3">
      <c r="A595" s="61"/>
      <c r="B595" s="61"/>
      <c r="C595" s="61"/>
      <c r="E595" s="61"/>
      <c r="G595" s="61"/>
    </row>
    <row r="596" spans="1:7" ht="15.75" customHeight="1" x14ac:dyDescent="0.3">
      <c r="A596" s="61"/>
      <c r="B596" s="61"/>
      <c r="C596" s="61"/>
      <c r="E596" s="61"/>
      <c r="G596" s="61"/>
    </row>
    <row r="597" spans="1:7" ht="15.75" customHeight="1" x14ac:dyDescent="0.3">
      <c r="A597" s="61"/>
      <c r="B597" s="61"/>
      <c r="C597" s="61"/>
      <c r="E597" s="61"/>
      <c r="G597" s="61"/>
    </row>
    <row r="598" spans="1:7" ht="15.75" customHeight="1" x14ac:dyDescent="0.3">
      <c r="A598" s="61"/>
      <c r="B598" s="61"/>
      <c r="C598" s="61"/>
      <c r="E598" s="61"/>
      <c r="G598" s="61"/>
    </row>
    <row r="599" spans="1:7" ht="15.75" customHeight="1" x14ac:dyDescent="0.3">
      <c r="A599" s="61"/>
      <c r="B599" s="61"/>
      <c r="C599" s="61"/>
      <c r="E599" s="61"/>
      <c r="G599" s="61"/>
    </row>
    <row r="600" spans="1:7" ht="15.75" customHeight="1" x14ac:dyDescent="0.3">
      <c r="A600" s="61"/>
      <c r="B600" s="61"/>
      <c r="C600" s="61"/>
      <c r="E600" s="61"/>
      <c r="G600" s="61"/>
    </row>
    <row r="601" spans="1:7" ht="15.75" customHeight="1" x14ac:dyDescent="0.3">
      <c r="A601" s="61"/>
      <c r="B601" s="61"/>
      <c r="C601" s="61"/>
      <c r="E601" s="61"/>
      <c r="G601" s="61"/>
    </row>
    <row r="602" spans="1:7" ht="15.75" customHeight="1" x14ac:dyDescent="0.3">
      <c r="A602" s="61"/>
      <c r="B602" s="61"/>
      <c r="C602" s="61"/>
      <c r="E602" s="61"/>
      <c r="G602" s="61"/>
    </row>
    <row r="603" spans="1:7" ht="15.75" customHeight="1" x14ac:dyDescent="0.3">
      <c r="A603" s="61"/>
      <c r="B603" s="61"/>
      <c r="C603" s="61"/>
      <c r="E603" s="61"/>
      <c r="G603" s="61"/>
    </row>
    <row r="604" spans="1:7" ht="15.75" customHeight="1" x14ac:dyDescent="0.3">
      <c r="A604" s="61"/>
      <c r="B604" s="61"/>
      <c r="C604" s="61"/>
      <c r="E604" s="61"/>
      <c r="G604" s="61"/>
    </row>
    <row r="605" spans="1:7" ht="15.75" customHeight="1" x14ac:dyDescent="0.3">
      <c r="A605" s="61"/>
      <c r="B605" s="61"/>
      <c r="C605" s="61"/>
      <c r="E605" s="61"/>
      <c r="G605" s="61"/>
    </row>
    <row r="606" spans="1:7" ht="15.75" customHeight="1" x14ac:dyDescent="0.3">
      <c r="A606" s="61"/>
      <c r="B606" s="61"/>
      <c r="C606" s="61"/>
      <c r="E606" s="61"/>
      <c r="G606" s="61"/>
    </row>
    <row r="607" spans="1:7" ht="15.75" customHeight="1" x14ac:dyDescent="0.3">
      <c r="A607" s="61"/>
      <c r="B607" s="61"/>
      <c r="C607" s="61"/>
      <c r="E607" s="61"/>
      <c r="G607" s="61"/>
    </row>
    <row r="608" spans="1:7" ht="15.75" customHeight="1" x14ac:dyDescent="0.3">
      <c r="A608" s="61"/>
      <c r="B608" s="61"/>
      <c r="C608" s="61"/>
      <c r="E608" s="61"/>
      <c r="G608" s="61"/>
    </row>
    <row r="609" spans="1:7" ht="15.75" customHeight="1" x14ac:dyDescent="0.3">
      <c r="A609" s="61"/>
      <c r="B609" s="61"/>
      <c r="C609" s="61"/>
      <c r="E609" s="61"/>
      <c r="G609" s="61"/>
    </row>
    <row r="610" spans="1:7" ht="15.75" customHeight="1" x14ac:dyDescent="0.3">
      <c r="A610" s="61"/>
      <c r="B610" s="61"/>
      <c r="C610" s="61"/>
      <c r="E610" s="61"/>
      <c r="G610" s="61"/>
    </row>
    <row r="611" spans="1:7" ht="15.75" customHeight="1" x14ac:dyDescent="0.3">
      <c r="A611" s="61"/>
      <c r="B611" s="61"/>
      <c r="C611" s="61"/>
      <c r="E611" s="61"/>
      <c r="G611" s="61"/>
    </row>
    <row r="612" spans="1:7" ht="15.75" customHeight="1" x14ac:dyDescent="0.3">
      <c r="A612" s="61"/>
      <c r="B612" s="61"/>
      <c r="C612" s="61"/>
      <c r="E612" s="61"/>
      <c r="G612" s="61"/>
    </row>
    <row r="613" spans="1:7" ht="15.75" customHeight="1" x14ac:dyDescent="0.3">
      <c r="A613" s="61"/>
      <c r="B613" s="61"/>
      <c r="C613" s="61"/>
      <c r="E613" s="61"/>
      <c r="G613" s="61"/>
    </row>
    <row r="614" spans="1:7" ht="15.75" customHeight="1" x14ac:dyDescent="0.3">
      <c r="A614" s="61"/>
      <c r="B614" s="61"/>
      <c r="C614" s="61"/>
      <c r="E614" s="61"/>
      <c r="G614" s="61"/>
    </row>
    <row r="615" spans="1:7" ht="15.75" customHeight="1" x14ac:dyDescent="0.3">
      <c r="A615" s="61"/>
      <c r="B615" s="61"/>
      <c r="C615" s="61"/>
      <c r="E615" s="61"/>
      <c r="G615" s="61"/>
    </row>
    <row r="616" spans="1:7" ht="15.75" customHeight="1" x14ac:dyDescent="0.3">
      <c r="A616" s="61"/>
      <c r="B616" s="61"/>
      <c r="C616" s="61"/>
      <c r="E616" s="61"/>
      <c r="G616" s="61"/>
    </row>
    <row r="617" spans="1:7" ht="15.75" customHeight="1" x14ac:dyDescent="0.3">
      <c r="A617" s="61"/>
      <c r="B617" s="61"/>
      <c r="C617" s="61"/>
      <c r="E617" s="61"/>
      <c r="G617" s="61"/>
    </row>
    <row r="618" spans="1:7" ht="15.75" customHeight="1" x14ac:dyDescent="0.3">
      <c r="A618" s="61"/>
      <c r="B618" s="61"/>
      <c r="C618" s="61"/>
      <c r="E618" s="61"/>
      <c r="G618" s="61"/>
    </row>
    <row r="619" spans="1:7" ht="15.75" customHeight="1" x14ac:dyDescent="0.3">
      <c r="A619" s="61"/>
      <c r="B619" s="61"/>
      <c r="C619" s="61"/>
      <c r="E619" s="61"/>
      <c r="G619" s="61"/>
    </row>
    <row r="620" spans="1:7" ht="15.75" customHeight="1" x14ac:dyDescent="0.3">
      <c r="A620" s="61"/>
      <c r="B620" s="61"/>
      <c r="C620" s="61"/>
      <c r="E620" s="61"/>
      <c r="G620" s="61"/>
    </row>
    <row r="621" spans="1:7" ht="15.75" customHeight="1" x14ac:dyDescent="0.3">
      <c r="A621" s="61"/>
      <c r="B621" s="61"/>
      <c r="C621" s="61"/>
      <c r="E621" s="61"/>
      <c r="G621" s="61"/>
    </row>
    <row r="622" spans="1:7" ht="15.75" customHeight="1" x14ac:dyDescent="0.3">
      <c r="A622" s="61"/>
      <c r="B622" s="61"/>
      <c r="C622" s="61"/>
      <c r="E622" s="61"/>
      <c r="G622" s="61"/>
    </row>
    <row r="623" spans="1:7" ht="15.75" customHeight="1" x14ac:dyDescent="0.3">
      <c r="A623" s="61"/>
      <c r="B623" s="61"/>
      <c r="C623" s="61"/>
      <c r="E623" s="61"/>
      <c r="G623" s="61"/>
    </row>
    <row r="624" spans="1:7" ht="15.75" customHeight="1" x14ac:dyDescent="0.3">
      <c r="A624" s="61"/>
      <c r="B624" s="61"/>
      <c r="C624" s="61"/>
      <c r="E624" s="61"/>
      <c r="G624" s="61"/>
    </row>
    <row r="625" spans="1:7" ht="15.75" customHeight="1" x14ac:dyDescent="0.3">
      <c r="A625" s="61"/>
      <c r="B625" s="61"/>
      <c r="C625" s="61"/>
      <c r="E625" s="61"/>
      <c r="G625" s="61"/>
    </row>
    <row r="626" spans="1:7" ht="15.75" customHeight="1" x14ac:dyDescent="0.3">
      <c r="A626" s="61"/>
      <c r="B626" s="61"/>
      <c r="C626" s="61"/>
      <c r="E626" s="61"/>
      <c r="G626" s="61"/>
    </row>
    <row r="627" spans="1:7" ht="15.75" customHeight="1" x14ac:dyDescent="0.3">
      <c r="A627" s="61"/>
      <c r="B627" s="61"/>
      <c r="C627" s="61"/>
      <c r="E627" s="61"/>
      <c r="G627" s="61"/>
    </row>
    <row r="628" spans="1:7" ht="15.75" customHeight="1" x14ac:dyDescent="0.3">
      <c r="A628" s="61"/>
      <c r="B628" s="61"/>
      <c r="C628" s="61"/>
      <c r="E628" s="61"/>
      <c r="G628" s="61"/>
    </row>
    <row r="629" spans="1:7" ht="15.75" customHeight="1" x14ac:dyDescent="0.3">
      <c r="A629" s="61"/>
      <c r="B629" s="61"/>
      <c r="C629" s="61"/>
      <c r="E629" s="61"/>
      <c r="G629" s="61"/>
    </row>
    <row r="630" spans="1:7" ht="15.75" customHeight="1" x14ac:dyDescent="0.3">
      <c r="A630" s="61"/>
      <c r="B630" s="61"/>
      <c r="C630" s="61"/>
      <c r="E630" s="61"/>
      <c r="G630" s="61"/>
    </row>
    <row r="631" spans="1:7" ht="15.75" customHeight="1" x14ac:dyDescent="0.3">
      <c r="A631" s="61"/>
      <c r="B631" s="61"/>
      <c r="C631" s="61"/>
      <c r="E631" s="61"/>
      <c r="G631" s="61"/>
    </row>
    <row r="632" spans="1:7" ht="15.75" customHeight="1" x14ac:dyDescent="0.3">
      <c r="A632" s="61"/>
      <c r="B632" s="61"/>
      <c r="C632" s="61"/>
      <c r="E632" s="61"/>
      <c r="G632" s="61"/>
    </row>
    <row r="633" spans="1:7" ht="15.75" customHeight="1" x14ac:dyDescent="0.3">
      <c r="A633" s="61"/>
      <c r="B633" s="61"/>
      <c r="C633" s="61"/>
      <c r="E633" s="61"/>
      <c r="G633" s="61"/>
    </row>
    <row r="634" spans="1:7" ht="15.75" customHeight="1" x14ac:dyDescent="0.3">
      <c r="A634" s="61"/>
      <c r="B634" s="61"/>
      <c r="C634" s="61"/>
      <c r="E634" s="61"/>
      <c r="G634" s="61"/>
    </row>
    <row r="635" spans="1:7" ht="15.75" customHeight="1" x14ac:dyDescent="0.3">
      <c r="A635" s="61"/>
      <c r="B635" s="61"/>
      <c r="C635" s="61"/>
      <c r="E635" s="61"/>
      <c r="G635" s="61"/>
    </row>
    <row r="636" spans="1:7" ht="15.75" customHeight="1" x14ac:dyDescent="0.3">
      <c r="A636" s="61"/>
      <c r="B636" s="61"/>
      <c r="C636" s="61"/>
      <c r="E636" s="61"/>
      <c r="G636" s="61"/>
    </row>
    <row r="637" spans="1:7" ht="15.75" customHeight="1" x14ac:dyDescent="0.3">
      <c r="A637" s="61"/>
      <c r="B637" s="61"/>
      <c r="C637" s="61"/>
      <c r="E637" s="61"/>
      <c r="G637" s="61"/>
    </row>
    <row r="638" spans="1:7" ht="15.75" customHeight="1" x14ac:dyDescent="0.3">
      <c r="A638" s="61"/>
      <c r="B638" s="61"/>
      <c r="C638" s="61"/>
      <c r="E638" s="61"/>
      <c r="G638" s="61"/>
    </row>
    <row r="639" spans="1:7" ht="15.75" customHeight="1" x14ac:dyDescent="0.3">
      <c r="A639" s="61"/>
      <c r="B639" s="61"/>
      <c r="C639" s="61"/>
      <c r="E639" s="61"/>
      <c r="G639" s="61"/>
    </row>
    <row r="640" spans="1:7" ht="15.75" customHeight="1" x14ac:dyDescent="0.3">
      <c r="A640" s="61"/>
      <c r="B640" s="61"/>
      <c r="C640" s="61"/>
      <c r="E640" s="61"/>
      <c r="G640" s="61"/>
    </row>
    <row r="641" spans="1:7" ht="15.75" customHeight="1" x14ac:dyDescent="0.3">
      <c r="A641" s="61"/>
      <c r="B641" s="61"/>
      <c r="C641" s="61"/>
      <c r="E641" s="61"/>
      <c r="G641" s="61"/>
    </row>
    <row r="642" spans="1:7" ht="15.75" customHeight="1" x14ac:dyDescent="0.3">
      <c r="A642" s="61"/>
      <c r="B642" s="61"/>
      <c r="C642" s="61"/>
      <c r="E642" s="61"/>
      <c r="G642" s="61"/>
    </row>
    <row r="643" spans="1:7" ht="15.75" customHeight="1" x14ac:dyDescent="0.3">
      <c r="A643" s="61"/>
      <c r="B643" s="61"/>
      <c r="C643" s="61"/>
      <c r="E643" s="61"/>
      <c r="G643" s="61"/>
    </row>
    <row r="644" spans="1:7" ht="15.75" customHeight="1" x14ac:dyDescent="0.3">
      <c r="A644" s="61"/>
      <c r="B644" s="61"/>
      <c r="C644" s="61"/>
      <c r="E644" s="61"/>
      <c r="G644" s="61"/>
    </row>
    <row r="645" spans="1:7" ht="15.75" customHeight="1" x14ac:dyDescent="0.3">
      <c r="A645" s="61"/>
      <c r="B645" s="61"/>
      <c r="C645" s="61"/>
      <c r="E645" s="61"/>
      <c r="G645" s="61"/>
    </row>
    <row r="646" spans="1:7" ht="15.75" customHeight="1" x14ac:dyDescent="0.3">
      <c r="A646" s="61"/>
      <c r="B646" s="61"/>
      <c r="C646" s="61"/>
      <c r="E646" s="61"/>
      <c r="G646" s="61"/>
    </row>
    <row r="647" spans="1:7" ht="15.75" customHeight="1" x14ac:dyDescent="0.3">
      <c r="A647" s="61"/>
      <c r="B647" s="61"/>
      <c r="C647" s="61"/>
      <c r="E647" s="61"/>
      <c r="G647" s="61"/>
    </row>
    <row r="648" spans="1:7" ht="15.75" customHeight="1" x14ac:dyDescent="0.3">
      <c r="A648" s="61"/>
      <c r="B648" s="61"/>
      <c r="C648" s="61"/>
      <c r="E648" s="61"/>
      <c r="G648" s="61"/>
    </row>
    <row r="649" spans="1:7" ht="15.75" customHeight="1" x14ac:dyDescent="0.3">
      <c r="A649" s="61"/>
      <c r="B649" s="61"/>
      <c r="C649" s="61"/>
      <c r="E649" s="61"/>
      <c r="G649" s="61"/>
    </row>
    <row r="650" spans="1:7" ht="15.75" customHeight="1" x14ac:dyDescent="0.3">
      <c r="A650" s="61"/>
      <c r="B650" s="61"/>
      <c r="C650" s="61"/>
      <c r="E650" s="61"/>
      <c r="G650" s="61"/>
    </row>
    <row r="651" spans="1:7" ht="15.75" customHeight="1" x14ac:dyDescent="0.3">
      <c r="A651" s="61"/>
      <c r="B651" s="61"/>
      <c r="C651" s="61"/>
      <c r="E651" s="61"/>
      <c r="G651" s="61"/>
    </row>
    <row r="652" spans="1:7" ht="15.75" customHeight="1" x14ac:dyDescent="0.3">
      <c r="A652" s="61"/>
      <c r="B652" s="61"/>
      <c r="C652" s="61"/>
      <c r="E652" s="61"/>
      <c r="G652" s="61"/>
    </row>
    <row r="653" spans="1:7" ht="15.75" customHeight="1" x14ac:dyDescent="0.3">
      <c r="A653" s="61"/>
      <c r="B653" s="61"/>
      <c r="C653" s="61"/>
      <c r="E653" s="61"/>
      <c r="G653" s="61"/>
    </row>
    <row r="654" spans="1:7" ht="15.75" customHeight="1" x14ac:dyDescent="0.3">
      <c r="A654" s="61"/>
      <c r="B654" s="61"/>
      <c r="C654" s="61"/>
      <c r="E654" s="61"/>
      <c r="G654" s="61"/>
    </row>
    <row r="655" spans="1:7" ht="15.75" customHeight="1" x14ac:dyDescent="0.3">
      <c r="A655" s="61"/>
      <c r="B655" s="61"/>
      <c r="C655" s="61"/>
      <c r="E655" s="61"/>
      <c r="G655" s="61"/>
    </row>
    <row r="656" spans="1:7" ht="15.75" customHeight="1" x14ac:dyDescent="0.3">
      <c r="A656" s="61"/>
      <c r="B656" s="61"/>
      <c r="C656" s="61"/>
      <c r="E656" s="61"/>
      <c r="G656" s="61"/>
    </row>
    <row r="657" spans="1:7" ht="15.75" customHeight="1" x14ac:dyDescent="0.3">
      <c r="A657" s="61"/>
      <c r="B657" s="61"/>
      <c r="C657" s="61"/>
      <c r="E657" s="61"/>
      <c r="G657" s="61"/>
    </row>
    <row r="658" spans="1:7" ht="15.75" customHeight="1" x14ac:dyDescent="0.3">
      <c r="A658" s="61"/>
      <c r="B658" s="61"/>
      <c r="C658" s="61"/>
      <c r="E658" s="61"/>
      <c r="G658" s="61"/>
    </row>
    <row r="659" spans="1:7" ht="15.75" customHeight="1" x14ac:dyDescent="0.3">
      <c r="A659" s="61"/>
      <c r="B659" s="61"/>
      <c r="C659" s="61"/>
      <c r="E659" s="61"/>
      <c r="G659" s="61"/>
    </row>
    <row r="660" spans="1:7" ht="15.75" customHeight="1" x14ac:dyDescent="0.3">
      <c r="A660" s="61"/>
      <c r="B660" s="61"/>
      <c r="C660" s="61"/>
      <c r="E660" s="61"/>
      <c r="G660" s="61"/>
    </row>
    <row r="661" spans="1:7" ht="15.75" customHeight="1" x14ac:dyDescent="0.3">
      <c r="A661" s="61"/>
      <c r="B661" s="61"/>
      <c r="C661" s="61"/>
      <c r="E661" s="61"/>
      <c r="G661" s="61"/>
    </row>
    <row r="662" spans="1:7" ht="15.75" customHeight="1" x14ac:dyDescent="0.3">
      <c r="A662" s="61"/>
      <c r="B662" s="61"/>
      <c r="C662" s="61"/>
      <c r="E662" s="61"/>
      <c r="G662" s="61"/>
    </row>
    <row r="663" spans="1:7" ht="15.75" customHeight="1" x14ac:dyDescent="0.3">
      <c r="A663" s="61"/>
      <c r="B663" s="61"/>
      <c r="C663" s="61"/>
      <c r="E663" s="61"/>
      <c r="G663" s="61"/>
    </row>
    <row r="664" spans="1:7" ht="15.75" customHeight="1" x14ac:dyDescent="0.3">
      <c r="A664" s="61"/>
      <c r="B664" s="61"/>
      <c r="C664" s="61"/>
      <c r="E664" s="61"/>
      <c r="G664" s="61"/>
    </row>
    <row r="665" spans="1:7" ht="15.75" customHeight="1" x14ac:dyDescent="0.3">
      <c r="A665" s="61"/>
      <c r="B665" s="61"/>
      <c r="C665" s="61"/>
      <c r="E665" s="61"/>
      <c r="G665" s="61"/>
    </row>
    <row r="666" spans="1:7" ht="15.75" customHeight="1" x14ac:dyDescent="0.3">
      <c r="A666" s="61"/>
      <c r="B666" s="61"/>
      <c r="C666" s="61"/>
      <c r="E666" s="61"/>
      <c r="G666" s="61"/>
    </row>
    <row r="667" spans="1:7" ht="15.75" customHeight="1" x14ac:dyDescent="0.3">
      <c r="A667" s="61"/>
      <c r="B667" s="61"/>
      <c r="C667" s="61"/>
      <c r="E667" s="61"/>
      <c r="G667" s="61"/>
    </row>
    <row r="668" spans="1:7" ht="15.75" customHeight="1" x14ac:dyDescent="0.3">
      <c r="A668" s="61"/>
      <c r="B668" s="61"/>
      <c r="C668" s="61"/>
      <c r="E668" s="61"/>
      <c r="G668" s="61"/>
    </row>
    <row r="669" spans="1:7" ht="15.75" customHeight="1" x14ac:dyDescent="0.3">
      <c r="A669" s="61"/>
      <c r="B669" s="61"/>
      <c r="C669" s="61"/>
      <c r="E669" s="61"/>
      <c r="G669" s="61"/>
    </row>
    <row r="670" spans="1:7" ht="15.75" customHeight="1" x14ac:dyDescent="0.3">
      <c r="A670" s="61"/>
      <c r="B670" s="61"/>
      <c r="C670" s="61"/>
      <c r="E670" s="61"/>
      <c r="G670" s="61"/>
    </row>
    <row r="671" spans="1:7" ht="15.75" customHeight="1" x14ac:dyDescent="0.3">
      <c r="A671" s="61"/>
      <c r="B671" s="61"/>
      <c r="C671" s="61"/>
      <c r="E671" s="61"/>
      <c r="G671" s="61"/>
    </row>
    <row r="672" spans="1:7" ht="15.75" customHeight="1" x14ac:dyDescent="0.3">
      <c r="A672" s="61"/>
      <c r="B672" s="61"/>
      <c r="C672" s="61"/>
      <c r="E672" s="61"/>
      <c r="G672" s="61"/>
    </row>
    <row r="673" spans="1:7" ht="15.75" customHeight="1" x14ac:dyDescent="0.3">
      <c r="A673" s="61"/>
      <c r="B673" s="61"/>
      <c r="C673" s="61"/>
      <c r="E673" s="61"/>
      <c r="G673" s="61"/>
    </row>
    <row r="674" spans="1:7" ht="15.75" customHeight="1" x14ac:dyDescent="0.3">
      <c r="A674" s="61"/>
      <c r="B674" s="61"/>
      <c r="C674" s="61"/>
      <c r="E674" s="61"/>
      <c r="G674" s="61"/>
    </row>
    <row r="675" spans="1:7" ht="15.75" customHeight="1" x14ac:dyDescent="0.3">
      <c r="A675" s="61"/>
      <c r="B675" s="61"/>
      <c r="C675" s="61"/>
      <c r="E675" s="61"/>
      <c r="G675" s="61"/>
    </row>
    <row r="676" spans="1:7" ht="15.75" customHeight="1" x14ac:dyDescent="0.3">
      <c r="A676" s="61"/>
      <c r="B676" s="61"/>
      <c r="C676" s="61"/>
      <c r="E676" s="61"/>
      <c r="G676" s="61"/>
    </row>
    <row r="677" spans="1:7" ht="15.75" customHeight="1" x14ac:dyDescent="0.3">
      <c r="A677" s="61"/>
      <c r="B677" s="61"/>
      <c r="C677" s="61"/>
      <c r="E677" s="61"/>
      <c r="G677" s="61"/>
    </row>
    <row r="678" spans="1:7" ht="15.75" customHeight="1" x14ac:dyDescent="0.3">
      <c r="A678" s="61"/>
      <c r="B678" s="61"/>
      <c r="C678" s="61"/>
      <c r="E678" s="61"/>
      <c r="G678" s="61"/>
    </row>
    <row r="679" spans="1:7" ht="15.75" customHeight="1" x14ac:dyDescent="0.3">
      <c r="A679" s="61"/>
      <c r="B679" s="61"/>
      <c r="C679" s="61"/>
      <c r="E679" s="61"/>
      <c r="G679" s="61"/>
    </row>
    <row r="680" spans="1:7" ht="15.75" customHeight="1" x14ac:dyDescent="0.3">
      <c r="A680" s="61"/>
      <c r="B680" s="61"/>
      <c r="C680" s="61"/>
      <c r="E680" s="61"/>
      <c r="G680" s="61"/>
    </row>
    <row r="681" spans="1:7" ht="15.75" customHeight="1" x14ac:dyDescent="0.3">
      <c r="A681" s="61"/>
      <c r="B681" s="61"/>
      <c r="C681" s="61"/>
      <c r="E681" s="61"/>
      <c r="G681" s="61"/>
    </row>
    <row r="682" spans="1:7" ht="15.75" customHeight="1" x14ac:dyDescent="0.3">
      <c r="A682" s="61"/>
      <c r="B682" s="61"/>
      <c r="C682" s="61"/>
      <c r="E682" s="61"/>
      <c r="G682" s="61"/>
    </row>
    <row r="683" spans="1:7" ht="15.75" customHeight="1" x14ac:dyDescent="0.3">
      <c r="A683" s="61"/>
      <c r="B683" s="61"/>
      <c r="C683" s="61"/>
      <c r="E683" s="61"/>
      <c r="G683" s="61"/>
    </row>
    <row r="684" spans="1:7" ht="15.75" customHeight="1" x14ac:dyDescent="0.3">
      <c r="A684" s="61"/>
      <c r="B684" s="61"/>
      <c r="C684" s="61"/>
      <c r="E684" s="61"/>
      <c r="G684" s="61"/>
    </row>
    <row r="685" spans="1:7" ht="15.75" customHeight="1" x14ac:dyDescent="0.3">
      <c r="A685" s="61"/>
      <c r="B685" s="61"/>
      <c r="C685" s="61"/>
      <c r="E685" s="61"/>
      <c r="G685" s="61"/>
    </row>
    <row r="686" spans="1:7" ht="15.75" customHeight="1" x14ac:dyDescent="0.3">
      <c r="A686" s="61"/>
      <c r="B686" s="61"/>
      <c r="C686" s="61"/>
      <c r="E686" s="61"/>
      <c r="G686" s="61"/>
    </row>
    <row r="687" spans="1:7" ht="15.75" customHeight="1" x14ac:dyDescent="0.3">
      <c r="A687" s="61"/>
      <c r="B687" s="61"/>
      <c r="C687" s="61"/>
      <c r="E687" s="61"/>
      <c r="G687" s="61"/>
    </row>
    <row r="688" spans="1:7" ht="15.75" customHeight="1" x14ac:dyDescent="0.3">
      <c r="A688" s="61"/>
      <c r="B688" s="61"/>
      <c r="C688" s="61"/>
      <c r="E688" s="61"/>
      <c r="G688" s="61"/>
    </row>
    <row r="689" spans="1:7" ht="15.75" customHeight="1" x14ac:dyDescent="0.3">
      <c r="A689" s="61"/>
      <c r="B689" s="61"/>
      <c r="C689" s="61"/>
      <c r="E689" s="61"/>
      <c r="G689" s="61"/>
    </row>
    <row r="690" spans="1:7" ht="15.75" customHeight="1" x14ac:dyDescent="0.3">
      <c r="A690" s="61"/>
      <c r="B690" s="61"/>
      <c r="C690" s="61"/>
      <c r="E690" s="61"/>
      <c r="G690" s="61"/>
    </row>
    <row r="691" spans="1:7" ht="15.75" customHeight="1" x14ac:dyDescent="0.3">
      <c r="A691" s="61"/>
      <c r="B691" s="61"/>
      <c r="C691" s="61"/>
      <c r="E691" s="61"/>
      <c r="G691" s="61"/>
    </row>
    <row r="692" spans="1:7" ht="15.75" customHeight="1" x14ac:dyDescent="0.3">
      <c r="A692" s="61"/>
      <c r="B692" s="61"/>
      <c r="C692" s="61"/>
      <c r="E692" s="61"/>
      <c r="G692" s="61"/>
    </row>
    <row r="693" spans="1:7" ht="15.75" customHeight="1" x14ac:dyDescent="0.3">
      <c r="A693" s="61"/>
      <c r="B693" s="61"/>
      <c r="C693" s="61"/>
      <c r="E693" s="61"/>
      <c r="G693" s="61"/>
    </row>
    <row r="694" spans="1:7" ht="15.75" customHeight="1" x14ac:dyDescent="0.3">
      <c r="A694" s="61"/>
      <c r="B694" s="61"/>
      <c r="C694" s="61"/>
      <c r="E694" s="61"/>
      <c r="G694" s="61"/>
    </row>
    <row r="695" spans="1:7" ht="15.75" customHeight="1" x14ac:dyDescent="0.3">
      <c r="A695" s="61"/>
      <c r="B695" s="61"/>
      <c r="C695" s="61"/>
      <c r="E695" s="61"/>
      <c r="G695" s="61"/>
    </row>
    <row r="696" spans="1:7" ht="15.75" customHeight="1" x14ac:dyDescent="0.3">
      <c r="A696" s="61"/>
      <c r="B696" s="61"/>
      <c r="C696" s="61"/>
      <c r="E696" s="61"/>
      <c r="G696" s="61"/>
    </row>
    <row r="697" spans="1:7" ht="15.75" customHeight="1" x14ac:dyDescent="0.3">
      <c r="A697" s="61"/>
      <c r="B697" s="61"/>
      <c r="C697" s="61"/>
      <c r="E697" s="61"/>
      <c r="G697" s="61"/>
    </row>
    <row r="698" spans="1:7" ht="15.75" customHeight="1" x14ac:dyDescent="0.3">
      <c r="A698" s="61"/>
      <c r="B698" s="61"/>
      <c r="C698" s="61"/>
      <c r="E698" s="61"/>
      <c r="G698" s="61"/>
    </row>
    <row r="699" spans="1:7" ht="15.75" customHeight="1" x14ac:dyDescent="0.3">
      <c r="A699" s="61"/>
      <c r="B699" s="61"/>
      <c r="C699" s="61"/>
      <c r="E699" s="61"/>
      <c r="G699" s="61"/>
    </row>
    <row r="700" spans="1:7" ht="15.75" customHeight="1" x14ac:dyDescent="0.3">
      <c r="A700" s="61"/>
      <c r="B700" s="61"/>
      <c r="C700" s="61"/>
      <c r="E700" s="61"/>
      <c r="G700" s="61"/>
    </row>
    <row r="701" spans="1:7" ht="15.75" customHeight="1" x14ac:dyDescent="0.3">
      <c r="A701" s="61"/>
      <c r="B701" s="61"/>
      <c r="C701" s="61"/>
      <c r="E701" s="61"/>
      <c r="G701" s="61"/>
    </row>
    <row r="702" spans="1:7" ht="15.75" customHeight="1" x14ac:dyDescent="0.3">
      <c r="A702" s="61"/>
      <c r="B702" s="61"/>
      <c r="C702" s="61"/>
      <c r="E702" s="61"/>
      <c r="G702" s="61"/>
    </row>
    <row r="703" spans="1:7" ht="15.75" customHeight="1" x14ac:dyDescent="0.3">
      <c r="A703" s="61"/>
      <c r="B703" s="61"/>
      <c r="C703" s="61"/>
      <c r="E703" s="61"/>
      <c r="G703" s="61"/>
    </row>
    <row r="704" spans="1:7" ht="15.75" customHeight="1" x14ac:dyDescent="0.3">
      <c r="A704" s="61"/>
      <c r="B704" s="61"/>
      <c r="C704" s="61"/>
      <c r="E704" s="61"/>
      <c r="G704" s="61"/>
    </row>
    <row r="705" spans="1:7" ht="15.75" customHeight="1" x14ac:dyDescent="0.3">
      <c r="A705" s="61"/>
      <c r="B705" s="61"/>
      <c r="C705" s="61"/>
      <c r="E705" s="61"/>
      <c r="G705" s="61"/>
    </row>
    <row r="706" spans="1:7" ht="15.75" customHeight="1" x14ac:dyDescent="0.3">
      <c r="A706" s="61"/>
      <c r="B706" s="61"/>
      <c r="C706" s="61"/>
      <c r="E706" s="61"/>
      <c r="G706" s="61"/>
    </row>
    <row r="707" spans="1:7" ht="15.75" customHeight="1" x14ac:dyDescent="0.3">
      <c r="A707" s="61"/>
      <c r="B707" s="61"/>
      <c r="C707" s="61"/>
      <c r="E707" s="61"/>
      <c r="G707" s="61"/>
    </row>
    <row r="708" spans="1:7" ht="15.75" customHeight="1" x14ac:dyDescent="0.3">
      <c r="A708" s="61"/>
      <c r="B708" s="61"/>
      <c r="C708" s="61"/>
      <c r="E708" s="61"/>
      <c r="G708" s="61"/>
    </row>
    <row r="709" spans="1:7" ht="15.75" customHeight="1" x14ac:dyDescent="0.3">
      <c r="A709" s="61"/>
      <c r="B709" s="61"/>
      <c r="C709" s="61"/>
      <c r="E709" s="61"/>
      <c r="G709" s="61"/>
    </row>
    <row r="710" spans="1:7" ht="15.75" customHeight="1" x14ac:dyDescent="0.3">
      <c r="A710" s="61"/>
      <c r="B710" s="61"/>
      <c r="C710" s="61"/>
      <c r="E710" s="61"/>
      <c r="G710" s="61"/>
    </row>
    <row r="711" spans="1:7" ht="15.75" customHeight="1" x14ac:dyDescent="0.3">
      <c r="A711" s="61"/>
      <c r="B711" s="61"/>
      <c r="C711" s="61"/>
      <c r="E711" s="61"/>
      <c r="G711" s="61"/>
    </row>
    <row r="712" spans="1:7" ht="15.75" customHeight="1" x14ac:dyDescent="0.3">
      <c r="A712" s="61"/>
      <c r="B712" s="61"/>
      <c r="C712" s="61"/>
      <c r="E712" s="61"/>
      <c r="G712" s="61"/>
    </row>
    <row r="713" spans="1:7" ht="15.75" customHeight="1" x14ac:dyDescent="0.3">
      <c r="A713" s="61"/>
      <c r="B713" s="61"/>
      <c r="C713" s="61"/>
      <c r="E713" s="61"/>
      <c r="G713" s="61"/>
    </row>
    <row r="714" spans="1:7" ht="15.75" customHeight="1" x14ac:dyDescent="0.3">
      <c r="A714" s="61"/>
      <c r="B714" s="61"/>
      <c r="C714" s="61"/>
      <c r="E714" s="61"/>
      <c r="G714" s="61"/>
    </row>
    <row r="715" spans="1:7" ht="15.75" customHeight="1" x14ac:dyDescent="0.3">
      <c r="A715" s="61"/>
      <c r="B715" s="61"/>
      <c r="C715" s="61"/>
      <c r="E715" s="61"/>
      <c r="G715" s="61"/>
    </row>
    <row r="716" spans="1:7" ht="15.75" customHeight="1" x14ac:dyDescent="0.3">
      <c r="A716" s="61"/>
      <c r="B716" s="61"/>
      <c r="C716" s="61"/>
      <c r="E716" s="61"/>
      <c r="G716" s="61"/>
    </row>
    <row r="717" spans="1:7" ht="15.75" customHeight="1" x14ac:dyDescent="0.3">
      <c r="A717" s="61"/>
      <c r="B717" s="61"/>
      <c r="C717" s="61"/>
      <c r="E717" s="61"/>
      <c r="G717" s="61"/>
    </row>
    <row r="718" spans="1:7" ht="15.75" customHeight="1" x14ac:dyDescent="0.3">
      <c r="A718" s="61"/>
      <c r="B718" s="61"/>
      <c r="C718" s="61"/>
      <c r="E718" s="61"/>
      <c r="G718" s="61"/>
    </row>
    <row r="719" spans="1:7" ht="15.75" customHeight="1" x14ac:dyDescent="0.3">
      <c r="A719" s="61"/>
      <c r="B719" s="61"/>
      <c r="C719" s="61"/>
      <c r="E719" s="61"/>
      <c r="G719" s="61"/>
    </row>
    <row r="720" spans="1:7" ht="15.75" customHeight="1" x14ac:dyDescent="0.3">
      <c r="A720" s="61"/>
      <c r="B720" s="61"/>
      <c r="C720" s="61"/>
      <c r="E720" s="61"/>
      <c r="G720" s="61"/>
    </row>
    <row r="721" spans="1:7" ht="15.75" customHeight="1" x14ac:dyDescent="0.3">
      <c r="A721" s="61"/>
      <c r="B721" s="61"/>
      <c r="C721" s="61"/>
      <c r="E721" s="61"/>
      <c r="G721" s="61"/>
    </row>
    <row r="722" spans="1:7" ht="15.75" customHeight="1" x14ac:dyDescent="0.3">
      <c r="A722" s="61"/>
      <c r="B722" s="61"/>
      <c r="C722" s="61"/>
      <c r="E722" s="61"/>
      <c r="G722" s="61"/>
    </row>
    <row r="723" spans="1:7" ht="15.75" customHeight="1" x14ac:dyDescent="0.3">
      <c r="A723" s="61"/>
      <c r="B723" s="61"/>
      <c r="C723" s="61"/>
      <c r="E723" s="61"/>
      <c r="G723" s="61"/>
    </row>
    <row r="724" spans="1:7" ht="15.75" customHeight="1" x14ac:dyDescent="0.3">
      <c r="A724" s="61"/>
      <c r="B724" s="61"/>
      <c r="C724" s="61"/>
      <c r="E724" s="61"/>
      <c r="G724" s="61"/>
    </row>
    <row r="725" spans="1:7" ht="15.75" customHeight="1" x14ac:dyDescent="0.3">
      <c r="A725" s="61"/>
      <c r="B725" s="61"/>
      <c r="C725" s="61"/>
      <c r="E725" s="61"/>
      <c r="G725" s="61"/>
    </row>
    <row r="726" spans="1:7" ht="15.75" customHeight="1" x14ac:dyDescent="0.3">
      <c r="A726" s="61"/>
      <c r="B726" s="61"/>
      <c r="C726" s="61"/>
      <c r="E726" s="61"/>
      <c r="G726" s="61"/>
    </row>
    <row r="727" spans="1:7" ht="15.75" customHeight="1" x14ac:dyDescent="0.3">
      <c r="A727" s="61"/>
      <c r="B727" s="61"/>
      <c r="C727" s="61"/>
      <c r="E727" s="61"/>
      <c r="G727" s="61"/>
    </row>
    <row r="728" spans="1:7" ht="15.75" customHeight="1" x14ac:dyDescent="0.3">
      <c r="A728" s="61"/>
      <c r="B728" s="61"/>
      <c r="C728" s="61"/>
      <c r="E728" s="61"/>
      <c r="G728" s="61"/>
    </row>
    <row r="729" spans="1:7" ht="15.75" customHeight="1" x14ac:dyDescent="0.3">
      <c r="A729" s="61"/>
      <c r="B729" s="61"/>
      <c r="C729" s="61"/>
      <c r="E729" s="61"/>
      <c r="G729" s="61"/>
    </row>
    <row r="730" spans="1:7" ht="15.75" customHeight="1" x14ac:dyDescent="0.3">
      <c r="A730" s="61"/>
      <c r="B730" s="61"/>
      <c r="C730" s="61"/>
      <c r="E730" s="61"/>
      <c r="G730" s="61"/>
    </row>
    <row r="731" spans="1:7" ht="15.75" customHeight="1" x14ac:dyDescent="0.3">
      <c r="A731" s="61"/>
      <c r="B731" s="61"/>
      <c r="C731" s="61"/>
      <c r="E731" s="61"/>
      <c r="G731" s="61"/>
    </row>
    <row r="732" spans="1:7" ht="15.75" customHeight="1" x14ac:dyDescent="0.3">
      <c r="A732" s="61"/>
      <c r="B732" s="61"/>
      <c r="C732" s="61"/>
      <c r="E732" s="61"/>
      <c r="G732" s="61"/>
    </row>
    <row r="733" spans="1:7" ht="15.75" customHeight="1" x14ac:dyDescent="0.3">
      <c r="A733" s="61"/>
      <c r="B733" s="61"/>
      <c r="C733" s="61"/>
      <c r="E733" s="61"/>
      <c r="G733" s="61"/>
    </row>
    <row r="734" spans="1:7" ht="15.75" customHeight="1" x14ac:dyDescent="0.3">
      <c r="A734" s="61"/>
      <c r="B734" s="61"/>
      <c r="C734" s="61"/>
      <c r="E734" s="61"/>
      <c r="G734" s="61"/>
    </row>
    <row r="735" spans="1:7" ht="15.75" customHeight="1" x14ac:dyDescent="0.3">
      <c r="A735" s="61"/>
      <c r="B735" s="61"/>
      <c r="C735" s="61"/>
      <c r="E735" s="61"/>
      <c r="G735" s="61"/>
    </row>
    <row r="736" spans="1:7" ht="15.75" customHeight="1" x14ac:dyDescent="0.3">
      <c r="A736" s="61"/>
      <c r="B736" s="61"/>
      <c r="C736" s="61"/>
      <c r="E736" s="61"/>
      <c r="G736" s="61"/>
    </row>
    <row r="737" spans="1:7" ht="15.75" customHeight="1" x14ac:dyDescent="0.3">
      <c r="A737" s="61"/>
      <c r="B737" s="61"/>
      <c r="C737" s="61"/>
      <c r="E737" s="61"/>
      <c r="G737" s="61"/>
    </row>
    <row r="738" spans="1:7" ht="15.75" customHeight="1" x14ac:dyDescent="0.3">
      <c r="A738" s="61"/>
      <c r="B738" s="61"/>
      <c r="C738" s="61"/>
      <c r="E738" s="61"/>
      <c r="G738" s="61"/>
    </row>
    <row r="739" spans="1:7" ht="15.75" customHeight="1" x14ac:dyDescent="0.3">
      <c r="A739" s="61"/>
      <c r="B739" s="61"/>
      <c r="C739" s="61"/>
      <c r="E739" s="61"/>
      <c r="G739" s="61"/>
    </row>
    <row r="740" spans="1:7" ht="15.75" customHeight="1" x14ac:dyDescent="0.3">
      <c r="A740" s="61"/>
      <c r="B740" s="61"/>
      <c r="C740" s="61"/>
      <c r="E740" s="61"/>
      <c r="G740" s="61"/>
    </row>
    <row r="741" spans="1:7" ht="15.75" customHeight="1" x14ac:dyDescent="0.3">
      <c r="A741" s="61"/>
      <c r="B741" s="61"/>
      <c r="C741" s="61"/>
      <c r="E741" s="61"/>
      <c r="G741" s="61"/>
    </row>
    <row r="742" spans="1:7" ht="15.75" customHeight="1" x14ac:dyDescent="0.3">
      <c r="A742" s="61"/>
      <c r="B742" s="61"/>
      <c r="C742" s="61"/>
      <c r="E742" s="61"/>
      <c r="G742" s="61"/>
    </row>
    <row r="743" spans="1:7" ht="15.75" customHeight="1" x14ac:dyDescent="0.3">
      <c r="A743" s="61"/>
      <c r="B743" s="61"/>
      <c r="C743" s="61"/>
      <c r="E743" s="61"/>
      <c r="G743" s="61"/>
    </row>
    <row r="744" spans="1:7" ht="15.75" customHeight="1" x14ac:dyDescent="0.3">
      <c r="A744" s="61"/>
      <c r="B744" s="61"/>
      <c r="C744" s="61"/>
      <c r="E744" s="61"/>
      <c r="G744" s="61"/>
    </row>
    <row r="745" spans="1:7" ht="15.75" customHeight="1" x14ac:dyDescent="0.3">
      <c r="A745" s="61"/>
      <c r="B745" s="61"/>
      <c r="C745" s="61"/>
      <c r="E745" s="61"/>
      <c r="G745" s="61"/>
    </row>
    <row r="746" spans="1:7" ht="15.75" customHeight="1" x14ac:dyDescent="0.3">
      <c r="A746" s="61"/>
      <c r="B746" s="61"/>
      <c r="C746" s="61"/>
      <c r="E746" s="61"/>
      <c r="G746" s="61"/>
    </row>
    <row r="747" spans="1:7" ht="15.75" customHeight="1" x14ac:dyDescent="0.3">
      <c r="A747" s="61"/>
      <c r="B747" s="61"/>
      <c r="C747" s="61"/>
      <c r="E747" s="61"/>
      <c r="G747" s="61"/>
    </row>
    <row r="748" spans="1:7" ht="15.75" customHeight="1" x14ac:dyDescent="0.3">
      <c r="A748" s="61"/>
      <c r="B748" s="61"/>
      <c r="C748" s="61"/>
      <c r="E748" s="61"/>
      <c r="G748" s="61"/>
    </row>
    <row r="749" spans="1:7" ht="15.75" customHeight="1" x14ac:dyDescent="0.3">
      <c r="A749" s="61"/>
      <c r="B749" s="61"/>
      <c r="C749" s="61"/>
      <c r="E749" s="61"/>
      <c r="G749" s="61"/>
    </row>
    <row r="750" spans="1:7" ht="15.75" customHeight="1" x14ac:dyDescent="0.3">
      <c r="A750" s="61"/>
      <c r="B750" s="61"/>
      <c r="C750" s="61"/>
      <c r="E750" s="61"/>
      <c r="G750" s="61"/>
    </row>
    <row r="751" spans="1:7" ht="15.75" customHeight="1" x14ac:dyDescent="0.3">
      <c r="A751" s="61"/>
      <c r="B751" s="61"/>
      <c r="C751" s="61"/>
      <c r="E751" s="61"/>
      <c r="G751" s="61"/>
    </row>
    <row r="752" spans="1:7" ht="15.75" customHeight="1" x14ac:dyDescent="0.3">
      <c r="A752" s="61"/>
      <c r="B752" s="61"/>
      <c r="C752" s="61"/>
      <c r="E752" s="61"/>
      <c r="G752" s="61"/>
    </row>
    <row r="753" spans="1:7" ht="15.75" customHeight="1" x14ac:dyDescent="0.3">
      <c r="A753" s="61"/>
      <c r="B753" s="61"/>
      <c r="C753" s="61"/>
      <c r="E753" s="61"/>
      <c r="G753" s="61"/>
    </row>
    <row r="754" spans="1:7" ht="15.75" customHeight="1" x14ac:dyDescent="0.3">
      <c r="A754" s="61"/>
      <c r="B754" s="61"/>
      <c r="C754" s="61"/>
      <c r="E754" s="61"/>
      <c r="G754" s="61"/>
    </row>
    <row r="755" spans="1:7" ht="15.75" customHeight="1" x14ac:dyDescent="0.3">
      <c r="A755" s="61"/>
      <c r="B755" s="61"/>
      <c r="C755" s="61"/>
      <c r="E755" s="61"/>
      <c r="G755" s="61"/>
    </row>
    <row r="756" spans="1:7" ht="15.75" customHeight="1" x14ac:dyDescent="0.3">
      <c r="A756" s="61"/>
      <c r="B756" s="61"/>
      <c r="C756" s="61"/>
      <c r="E756" s="61"/>
      <c r="G756" s="61"/>
    </row>
    <row r="757" spans="1:7" ht="15.75" customHeight="1" x14ac:dyDescent="0.3">
      <c r="A757" s="61"/>
      <c r="B757" s="61"/>
      <c r="C757" s="61"/>
      <c r="E757" s="61"/>
      <c r="G757" s="61"/>
    </row>
    <row r="758" spans="1:7" ht="15.75" customHeight="1" x14ac:dyDescent="0.3">
      <c r="A758" s="61"/>
      <c r="B758" s="61"/>
      <c r="C758" s="61"/>
      <c r="E758" s="61"/>
      <c r="G758" s="61"/>
    </row>
    <row r="759" spans="1:7" ht="15.75" customHeight="1" x14ac:dyDescent="0.3">
      <c r="A759" s="61"/>
      <c r="B759" s="61"/>
      <c r="C759" s="61"/>
      <c r="E759" s="61"/>
      <c r="G759" s="61"/>
    </row>
    <row r="760" spans="1:7" ht="15.75" customHeight="1" x14ac:dyDescent="0.3">
      <c r="A760" s="61"/>
      <c r="B760" s="61"/>
      <c r="C760" s="61"/>
      <c r="E760" s="61"/>
      <c r="G760" s="61"/>
    </row>
    <row r="761" spans="1:7" ht="15.75" customHeight="1" x14ac:dyDescent="0.3">
      <c r="A761" s="61"/>
      <c r="B761" s="61"/>
      <c r="C761" s="61"/>
      <c r="E761" s="61"/>
      <c r="G761" s="61"/>
    </row>
    <row r="762" spans="1:7" ht="15.75" customHeight="1" x14ac:dyDescent="0.3">
      <c r="A762" s="61"/>
      <c r="B762" s="61"/>
      <c r="C762" s="61"/>
      <c r="E762" s="61"/>
      <c r="G762" s="61"/>
    </row>
    <row r="763" spans="1:7" ht="15.75" customHeight="1" x14ac:dyDescent="0.3">
      <c r="A763" s="61"/>
      <c r="B763" s="61"/>
      <c r="C763" s="61"/>
      <c r="E763" s="61"/>
      <c r="G763" s="61"/>
    </row>
    <row r="764" spans="1:7" ht="15.75" customHeight="1" x14ac:dyDescent="0.3">
      <c r="A764" s="61"/>
      <c r="B764" s="61"/>
      <c r="C764" s="61"/>
      <c r="E764" s="61"/>
      <c r="G764" s="61"/>
    </row>
    <row r="765" spans="1:7" ht="15.75" customHeight="1" x14ac:dyDescent="0.3">
      <c r="A765" s="61"/>
      <c r="B765" s="61"/>
      <c r="C765" s="61"/>
      <c r="E765" s="61"/>
      <c r="G765" s="61"/>
    </row>
    <row r="766" spans="1:7" ht="15.75" customHeight="1" x14ac:dyDescent="0.3">
      <c r="A766" s="61"/>
      <c r="B766" s="61"/>
      <c r="C766" s="61"/>
      <c r="E766" s="61"/>
      <c r="G766" s="61"/>
    </row>
    <row r="767" spans="1:7" ht="15.75" customHeight="1" x14ac:dyDescent="0.3">
      <c r="A767" s="61"/>
      <c r="B767" s="61"/>
      <c r="C767" s="61"/>
      <c r="E767" s="61"/>
      <c r="G767" s="61"/>
    </row>
    <row r="768" spans="1:7" ht="15.75" customHeight="1" x14ac:dyDescent="0.3">
      <c r="A768" s="61"/>
      <c r="B768" s="61"/>
      <c r="C768" s="61"/>
      <c r="E768" s="61"/>
      <c r="G768" s="61"/>
    </row>
    <row r="769" spans="1:7" ht="15.75" customHeight="1" x14ac:dyDescent="0.3">
      <c r="A769" s="61"/>
      <c r="B769" s="61"/>
      <c r="C769" s="61"/>
      <c r="E769" s="61"/>
      <c r="G769" s="61"/>
    </row>
    <row r="770" spans="1:7" ht="15.75" customHeight="1" x14ac:dyDescent="0.3">
      <c r="A770" s="61"/>
      <c r="B770" s="61"/>
      <c r="C770" s="61"/>
      <c r="E770" s="61"/>
      <c r="G770" s="61"/>
    </row>
    <row r="771" spans="1:7" ht="15.75" customHeight="1" x14ac:dyDescent="0.3">
      <c r="A771" s="61"/>
      <c r="B771" s="61"/>
      <c r="C771" s="61"/>
      <c r="E771" s="61"/>
      <c r="G771" s="61"/>
    </row>
    <row r="772" spans="1:7" ht="15.75" customHeight="1" x14ac:dyDescent="0.3">
      <c r="A772" s="61"/>
      <c r="B772" s="61"/>
      <c r="C772" s="61"/>
      <c r="E772" s="61"/>
      <c r="G772" s="61"/>
    </row>
    <row r="773" spans="1:7" ht="15.75" customHeight="1" x14ac:dyDescent="0.3">
      <c r="A773" s="61"/>
      <c r="B773" s="61"/>
      <c r="C773" s="61"/>
      <c r="E773" s="61"/>
      <c r="G773" s="61"/>
    </row>
    <row r="774" spans="1:7" ht="15.75" customHeight="1" x14ac:dyDescent="0.3">
      <c r="A774" s="61"/>
      <c r="B774" s="61"/>
      <c r="C774" s="61"/>
      <c r="E774" s="61"/>
      <c r="G774" s="61"/>
    </row>
    <row r="775" spans="1:7" ht="15.75" customHeight="1" x14ac:dyDescent="0.3">
      <c r="A775" s="61"/>
      <c r="B775" s="61"/>
      <c r="C775" s="61"/>
      <c r="E775" s="61"/>
      <c r="G775" s="61"/>
    </row>
    <row r="776" spans="1:7" ht="15.75" customHeight="1" x14ac:dyDescent="0.3">
      <c r="A776" s="61"/>
      <c r="B776" s="61"/>
      <c r="C776" s="61"/>
      <c r="E776" s="61"/>
      <c r="G776" s="61"/>
    </row>
    <row r="777" spans="1:7" ht="15.75" customHeight="1" x14ac:dyDescent="0.3">
      <c r="A777" s="61"/>
      <c r="B777" s="61"/>
      <c r="C777" s="61"/>
      <c r="E777" s="61"/>
      <c r="G777" s="61"/>
    </row>
    <row r="778" spans="1:7" ht="15.75" customHeight="1" x14ac:dyDescent="0.3">
      <c r="A778" s="61"/>
      <c r="B778" s="61"/>
      <c r="C778" s="61"/>
      <c r="E778" s="61"/>
      <c r="G778" s="61"/>
    </row>
    <row r="779" spans="1:7" ht="15.75" customHeight="1" x14ac:dyDescent="0.3">
      <c r="A779" s="61"/>
      <c r="B779" s="61"/>
      <c r="C779" s="61"/>
      <c r="E779" s="61"/>
      <c r="G779" s="61"/>
    </row>
    <row r="780" spans="1:7" ht="15.75" customHeight="1" x14ac:dyDescent="0.3">
      <c r="A780" s="61"/>
      <c r="B780" s="61"/>
      <c r="C780" s="61"/>
      <c r="E780" s="61"/>
      <c r="G780" s="61"/>
    </row>
    <row r="781" spans="1:7" ht="15.75" customHeight="1" x14ac:dyDescent="0.3">
      <c r="A781" s="61"/>
      <c r="B781" s="61"/>
      <c r="C781" s="61"/>
      <c r="E781" s="61"/>
      <c r="G781" s="61"/>
    </row>
    <row r="782" spans="1:7" ht="15.75" customHeight="1" x14ac:dyDescent="0.3">
      <c r="A782" s="61"/>
      <c r="B782" s="61"/>
      <c r="C782" s="61"/>
      <c r="E782" s="61"/>
      <c r="G782" s="61"/>
    </row>
    <row r="783" spans="1:7" ht="15.75" customHeight="1" x14ac:dyDescent="0.3">
      <c r="A783" s="61"/>
      <c r="B783" s="61"/>
      <c r="C783" s="61"/>
      <c r="E783" s="61"/>
      <c r="G783" s="61"/>
    </row>
    <row r="784" spans="1:7" ht="15.75" customHeight="1" x14ac:dyDescent="0.3">
      <c r="A784" s="61"/>
      <c r="B784" s="61"/>
      <c r="C784" s="61"/>
      <c r="E784" s="61"/>
      <c r="G784" s="61"/>
    </row>
    <row r="785" spans="1:7" ht="15.75" customHeight="1" x14ac:dyDescent="0.3">
      <c r="A785" s="61"/>
      <c r="B785" s="61"/>
      <c r="C785" s="61"/>
      <c r="E785" s="61"/>
      <c r="G785" s="61"/>
    </row>
    <row r="786" spans="1:7" ht="15.75" customHeight="1" x14ac:dyDescent="0.3">
      <c r="A786" s="61"/>
      <c r="B786" s="61"/>
      <c r="C786" s="61"/>
      <c r="E786" s="61"/>
      <c r="G786" s="61"/>
    </row>
    <row r="787" spans="1:7" ht="15.75" customHeight="1" x14ac:dyDescent="0.3">
      <c r="A787" s="61"/>
      <c r="B787" s="61"/>
      <c r="C787" s="61"/>
      <c r="E787" s="61"/>
      <c r="G787" s="61"/>
    </row>
    <row r="788" spans="1:7" ht="15.75" customHeight="1" x14ac:dyDescent="0.3">
      <c r="A788" s="61"/>
      <c r="B788" s="61"/>
      <c r="C788" s="61"/>
      <c r="E788" s="61"/>
      <c r="G788" s="61"/>
    </row>
    <row r="789" spans="1:7" ht="15.75" customHeight="1" x14ac:dyDescent="0.3">
      <c r="A789" s="61"/>
      <c r="B789" s="61"/>
      <c r="C789" s="61"/>
      <c r="E789" s="61"/>
      <c r="G789" s="61"/>
    </row>
    <row r="790" spans="1:7" ht="15.75" customHeight="1" x14ac:dyDescent="0.3">
      <c r="A790" s="61"/>
      <c r="B790" s="61"/>
      <c r="C790" s="61"/>
      <c r="E790" s="61"/>
      <c r="G790" s="61"/>
    </row>
    <row r="791" spans="1:7" ht="15.75" customHeight="1" x14ac:dyDescent="0.3">
      <c r="A791" s="61"/>
      <c r="B791" s="61"/>
      <c r="C791" s="61"/>
      <c r="E791" s="61"/>
      <c r="G791" s="61"/>
    </row>
    <row r="792" spans="1:7" ht="15.75" customHeight="1" x14ac:dyDescent="0.3">
      <c r="A792" s="61"/>
      <c r="B792" s="61"/>
      <c r="C792" s="61"/>
      <c r="E792" s="61"/>
      <c r="G792" s="61"/>
    </row>
    <row r="793" spans="1:7" ht="15.75" customHeight="1" x14ac:dyDescent="0.3">
      <c r="A793" s="61"/>
      <c r="B793" s="61"/>
      <c r="C793" s="61"/>
      <c r="E793" s="61"/>
      <c r="G793" s="61"/>
    </row>
    <row r="794" spans="1:7" ht="15.75" customHeight="1" x14ac:dyDescent="0.3">
      <c r="A794" s="61"/>
      <c r="B794" s="61"/>
      <c r="C794" s="61"/>
      <c r="E794" s="61"/>
      <c r="G794" s="61"/>
    </row>
    <row r="795" spans="1:7" ht="15.75" customHeight="1" x14ac:dyDescent="0.3">
      <c r="A795" s="61"/>
      <c r="B795" s="61"/>
      <c r="C795" s="61"/>
      <c r="E795" s="61"/>
      <c r="G795" s="61"/>
    </row>
    <row r="796" spans="1:7" ht="15.75" customHeight="1" x14ac:dyDescent="0.3">
      <c r="A796" s="61"/>
      <c r="B796" s="61"/>
      <c r="C796" s="61"/>
      <c r="E796" s="61"/>
      <c r="G796" s="61"/>
    </row>
    <row r="797" spans="1:7" ht="15.75" customHeight="1" x14ac:dyDescent="0.3">
      <c r="A797" s="61"/>
      <c r="B797" s="61"/>
      <c r="C797" s="61"/>
      <c r="E797" s="61"/>
      <c r="G797" s="61"/>
    </row>
    <row r="798" spans="1:7" ht="15.75" customHeight="1" x14ac:dyDescent="0.3">
      <c r="A798" s="61"/>
      <c r="B798" s="61"/>
      <c r="C798" s="61"/>
      <c r="E798" s="61"/>
      <c r="G798" s="61"/>
    </row>
    <row r="799" spans="1:7" ht="15.75" customHeight="1" x14ac:dyDescent="0.3">
      <c r="A799" s="61"/>
      <c r="B799" s="61"/>
      <c r="C799" s="61"/>
      <c r="E799" s="61"/>
      <c r="G799" s="61"/>
    </row>
    <row r="800" spans="1:7" ht="15.75" customHeight="1" x14ac:dyDescent="0.3">
      <c r="A800" s="61"/>
      <c r="B800" s="61"/>
      <c r="C800" s="61"/>
      <c r="E800" s="61"/>
      <c r="G800" s="61"/>
    </row>
    <row r="801" spans="1:7" ht="15.75" customHeight="1" x14ac:dyDescent="0.3">
      <c r="A801" s="61"/>
      <c r="B801" s="61"/>
      <c r="C801" s="61"/>
      <c r="E801" s="61"/>
      <c r="G801" s="61"/>
    </row>
    <row r="802" spans="1:7" ht="15.75" customHeight="1" x14ac:dyDescent="0.3">
      <c r="A802" s="61"/>
      <c r="B802" s="61"/>
      <c r="C802" s="61"/>
      <c r="E802" s="61"/>
      <c r="G802" s="61"/>
    </row>
    <row r="803" spans="1:7" ht="15.75" customHeight="1" x14ac:dyDescent="0.3">
      <c r="A803" s="61"/>
      <c r="B803" s="61"/>
      <c r="C803" s="61"/>
      <c r="E803" s="61"/>
      <c r="G803" s="61"/>
    </row>
    <row r="804" spans="1:7" ht="15.75" customHeight="1" x14ac:dyDescent="0.3">
      <c r="A804" s="61"/>
      <c r="B804" s="61"/>
      <c r="C804" s="61"/>
      <c r="E804" s="61"/>
      <c r="G804" s="61"/>
    </row>
    <row r="805" spans="1:7" ht="15.75" customHeight="1" x14ac:dyDescent="0.3">
      <c r="A805" s="61"/>
      <c r="B805" s="61"/>
      <c r="C805" s="61"/>
      <c r="E805" s="61"/>
      <c r="G805" s="61"/>
    </row>
    <row r="806" spans="1:7" ht="15.75" customHeight="1" x14ac:dyDescent="0.3">
      <c r="A806" s="61"/>
      <c r="B806" s="61"/>
      <c r="C806" s="61"/>
      <c r="E806" s="61"/>
      <c r="G806" s="61"/>
    </row>
    <row r="807" spans="1:7" ht="15.75" customHeight="1" x14ac:dyDescent="0.3">
      <c r="A807" s="61"/>
      <c r="B807" s="61"/>
      <c r="C807" s="61"/>
      <c r="E807" s="61"/>
      <c r="G807" s="61"/>
    </row>
    <row r="808" spans="1:7" ht="15.75" customHeight="1" x14ac:dyDescent="0.3">
      <c r="A808" s="61"/>
      <c r="B808" s="61"/>
      <c r="C808" s="61"/>
      <c r="E808" s="61"/>
      <c r="G808" s="61"/>
    </row>
    <row r="809" spans="1:7" ht="15.75" customHeight="1" x14ac:dyDescent="0.3">
      <c r="A809" s="61"/>
      <c r="B809" s="61"/>
      <c r="C809" s="61"/>
      <c r="E809" s="61"/>
      <c r="G809" s="61"/>
    </row>
    <row r="810" spans="1:7" ht="15.75" customHeight="1" x14ac:dyDescent="0.3">
      <c r="A810" s="61"/>
      <c r="B810" s="61"/>
      <c r="C810" s="61"/>
      <c r="E810" s="61"/>
      <c r="G810" s="61"/>
    </row>
    <row r="811" spans="1:7" ht="15.75" customHeight="1" x14ac:dyDescent="0.3">
      <c r="A811" s="61"/>
      <c r="B811" s="61"/>
      <c r="C811" s="61"/>
      <c r="E811" s="61"/>
      <c r="G811" s="61"/>
    </row>
    <row r="812" spans="1:7" ht="15.75" customHeight="1" x14ac:dyDescent="0.3">
      <c r="A812" s="61"/>
      <c r="B812" s="61"/>
      <c r="C812" s="61"/>
      <c r="E812" s="61"/>
      <c r="G812" s="61"/>
    </row>
    <row r="813" spans="1:7" ht="15.75" customHeight="1" x14ac:dyDescent="0.3">
      <c r="A813" s="61"/>
      <c r="B813" s="61"/>
      <c r="C813" s="61"/>
      <c r="E813" s="61"/>
      <c r="G813" s="61"/>
    </row>
    <row r="814" spans="1:7" ht="15.75" customHeight="1" x14ac:dyDescent="0.3">
      <c r="A814" s="61"/>
      <c r="B814" s="61"/>
      <c r="C814" s="61"/>
      <c r="E814" s="61"/>
      <c r="G814" s="61"/>
    </row>
    <row r="815" spans="1:7" ht="15.75" customHeight="1" x14ac:dyDescent="0.3">
      <c r="A815" s="61"/>
      <c r="B815" s="61"/>
      <c r="C815" s="61"/>
      <c r="E815" s="61"/>
      <c r="G815" s="61"/>
    </row>
    <row r="816" spans="1:7" ht="15.75" customHeight="1" x14ac:dyDescent="0.3">
      <c r="A816" s="61"/>
      <c r="B816" s="61"/>
      <c r="C816" s="61"/>
      <c r="E816" s="61"/>
      <c r="G816" s="61"/>
    </row>
    <row r="817" spans="1:7" ht="15.75" customHeight="1" x14ac:dyDescent="0.3">
      <c r="A817" s="61"/>
      <c r="B817" s="61"/>
      <c r="C817" s="61"/>
      <c r="E817" s="61"/>
      <c r="G817" s="61"/>
    </row>
    <row r="818" spans="1:7" ht="15.75" customHeight="1" x14ac:dyDescent="0.3">
      <c r="A818" s="61"/>
      <c r="B818" s="61"/>
      <c r="C818" s="61"/>
      <c r="E818" s="61"/>
      <c r="G818" s="61"/>
    </row>
    <row r="819" spans="1:7" ht="15.75" customHeight="1" x14ac:dyDescent="0.3">
      <c r="A819" s="61"/>
      <c r="B819" s="61"/>
      <c r="C819" s="61"/>
      <c r="E819" s="61"/>
      <c r="G819" s="61"/>
    </row>
    <row r="820" spans="1:7" ht="15.75" customHeight="1" x14ac:dyDescent="0.3">
      <c r="A820" s="61"/>
      <c r="B820" s="61"/>
      <c r="C820" s="61"/>
      <c r="E820" s="61"/>
      <c r="G820" s="61"/>
    </row>
    <row r="821" spans="1:7" ht="15.75" customHeight="1" x14ac:dyDescent="0.3">
      <c r="A821" s="61"/>
      <c r="B821" s="61"/>
      <c r="C821" s="61"/>
      <c r="E821" s="61"/>
      <c r="G821" s="61"/>
    </row>
    <row r="822" spans="1:7" ht="15.75" customHeight="1" x14ac:dyDescent="0.3">
      <c r="A822" s="61"/>
      <c r="B822" s="61"/>
      <c r="C822" s="61"/>
      <c r="E822" s="61"/>
      <c r="G822" s="61"/>
    </row>
    <row r="823" spans="1:7" ht="15.75" customHeight="1" x14ac:dyDescent="0.3">
      <c r="A823" s="61"/>
      <c r="B823" s="61"/>
      <c r="C823" s="61"/>
      <c r="E823" s="61"/>
      <c r="G823" s="61"/>
    </row>
    <row r="824" spans="1:7" ht="15.75" customHeight="1" x14ac:dyDescent="0.3">
      <c r="A824" s="61"/>
      <c r="B824" s="61"/>
      <c r="C824" s="61"/>
      <c r="E824" s="61"/>
      <c r="G824" s="61"/>
    </row>
    <row r="825" spans="1:7" ht="15.75" customHeight="1" x14ac:dyDescent="0.3">
      <c r="A825" s="61"/>
      <c r="B825" s="61"/>
      <c r="C825" s="61"/>
      <c r="E825" s="61"/>
      <c r="G825" s="61"/>
    </row>
    <row r="826" spans="1:7" ht="15.75" customHeight="1" x14ac:dyDescent="0.3">
      <c r="A826" s="61"/>
      <c r="B826" s="61"/>
      <c r="C826" s="61"/>
      <c r="E826" s="61"/>
      <c r="G826" s="61"/>
    </row>
    <row r="827" spans="1:7" ht="15.75" customHeight="1" x14ac:dyDescent="0.3">
      <c r="A827" s="61"/>
      <c r="B827" s="61"/>
      <c r="C827" s="61"/>
      <c r="E827" s="61"/>
      <c r="G827" s="61"/>
    </row>
    <row r="828" spans="1:7" ht="15.75" customHeight="1" x14ac:dyDescent="0.3">
      <c r="A828" s="61"/>
      <c r="B828" s="61"/>
      <c r="C828" s="61"/>
      <c r="E828" s="61"/>
      <c r="G828" s="61"/>
    </row>
    <row r="829" spans="1:7" ht="15.75" customHeight="1" x14ac:dyDescent="0.3">
      <c r="A829" s="61"/>
      <c r="B829" s="61"/>
      <c r="C829" s="61"/>
      <c r="E829" s="61"/>
      <c r="G829" s="61"/>
    </row>
    <row r="830" spans="1:7" ht="15.75" customHeight="1" x14ac:dyDescent="0.3">
      <c r="A830" s="61"/>
      <c r="B830" s="61"/>
      <c r="C830" s="61"/>
      <c r="E830" s="61"/>
      <c r="G830" s="61"/>
    </row>
    <row r="831" spans="1:7" ht="15.75" customHeight="1" x14ac:dyDescent="0.3">
      <c r="A831" s="61"/>
      <c r="B831" s="61"/>
      <c r="C831" s="61"/>
      <c r="E831" s="61"/>
      <c r="G831" s="61"/>
    </row>
    <row r="832" spans="1:7" ht="15.75" customHeight="1" x14ac:dyDescent="0.3">
      <c r="A832" s="61"/>
      <c r="B832" s="61"/>
      <c r="C832" s="61"/>
      <c r="E832" s="61"/>
      <c r="G832" s="61"/>
    </row>
    <row r="833" spans="1:7" ht="15.75" customHeight="1" x14ac:dyDescent="0.3">
      <c r="A833" s="61"/>
      <c r="B833" s="61"/>
      <c r="C833" s="61"/>
      <c r="E833" s="61"/>
      <c r="G833" s="61"/>
    </row>
    <row r="834" spans="1:7" ht="15.75" customHeight="1" x14ac:dyDescent="0.3">
      <c r="A834" s="61"/>
      <c r="B834" s="61"/>
      <c r="C834" s="61"/>
      <c r="E834" s="61"/>
      <c r="G834" s="61"/>
    </row>
    <row r="835" spans="1:7" ht="15.75" customHeight="1" x14ac:dyDescent="0.3">
      <c r="A835" s="61"/>
      <c r="B835" s="61"/>
      <c r="C835" s="61"/>
      <c r="E835" s="61"/>
      <c r="G835" s="61"/>
    </row>
    <row r="836" spans="1:7" ht="15.75" customHeight="1" x14ac:dyDescent="0.3">
      <c r="A836" s="61"/>
      <c r="B836" s="61"/>
      <c r="C836" s="61"/>
      <c r="E836" s="61"/>
      <c r="G836" s="61"/>
    </row>
    <row r="837" spans="1:7" ht="15.75" customHeight="1" x14ac:dyDescent="0.3">
      <c r="A837" s="61"/>
      <c r="B837" s="61"/>
      <c r="C837" s="61"/>
      <c r="E837" s="61"/>
      <c r="G837" s="61"/>
    </row>
    <row r="838" spans="1:7" ht="15.75" customHeight="1" x14ac:dyDescent="0.3">
      <c r="A838" s="61"/>
      <c r="B838" s="61"/>
      <c r="C838" s="61"/>
      <c r="E838" s="61"/>
      <c r="G838" s="61"/>
    </row>
    <row r="839" spans="1:7" ht="15.75" customHeight="1" x14ac:dyDescent="0.3">
      <c r="A839" s="61"/>
      <c r="B839" s="61"/>
      <c r="C839" s="61"/>
      <c r="E839" s="61"/>
      <c r="G839" s="61"/>
    </row>
    <row r="840" spans="1:7" ht="15.75" customHeight="1" x14ac:dyDescent="0.3">
      <c r="A840" s="61"/>
      <c r="B840" s="61"/>
      <c r="C840" s="61"/>
      <c r="E840" s="61"/>
      <c r="G840" s="61"/>
    </row>
    <row r="841" spans="1:7" ht="15.75" customHeight="1" x14ac:dyDescent="0.3">
      <c r="A841" s="61"/>
      <c r="B841" s="61"/>
      <c r="C841" s="61"/>
      <c r="E841" s="61"/>
      <c r="G841" s="61"/>
    </row>
    <row r="842" spans="1:7" ht="15.75" customHeight="1" x14ac:dyDescent="0.3">
      <c r="A842" s="61"/>
      <c r="B842" s="61"/>
      <c r="C842" s="61"/>
      <c r="E842" s="61"/>
      <c r="G842" s="61"/>
    </row>
    <row r="843" spans="1:7" ht="15.75" customHeight="1" x14ac:dyDescent="0.3">
      <c r="A843" s="61"/>
      <c r="B843" s="61"/>
      <c r="C843" s="61"/>
      <c r="E843" s="61"/>
      <c r="G843" s="61"/>
    </row>
    <row r="844" spans="1:7" ht="15.75" customHeight="1" x14ac:dyDescent="0.3">
      <c r="A844" s="61"/>
      <c r="B844" s="61"/>
      <c r="C844" s="61"/>
      <c r="E844" s="61"/>
      <c r="G844" s="61"/>
    </row>
    <row r="845" spans="1:7" ht="15.75" customHeight="1" x14ac:dyDescent="0.3">
      <c r="A845" s="61"/>
      <c r="B845" s="61"/>
      <c r="C845" s="61"/>
      <c r="E845" s="61"/>
      <c r="G845" s="61"/>
    </row>
    <row r="846" spans="1:7" ht="15.75" customHeight="1" x14ac:dyDescent="0.3">
      <c r="A846" s="61"/>
      <c r="B846" s="61"/>
      <c r="C846" s="61"/>
      <c r="E846" s="61"/>
      <c r="G846" s="61"/>
    </row>
    <row r="847" spans="1:7" ht="15.75" customHeight="1" x14ac:dyDescent="0.3">
      <c r="A847" s="61"/>
      <c r="B847" s="61"/>
      <c r="C847" s="61"/>
      <c r="E847" s="61"/>
      <c r="G847" s="61"/>
    </row>
    <row r="848" spans="1:7" ht="15.75" customHeight="1" x14ac:dyDescent="0.3">
      <c r="A848" s="61"/>
      <c r="B848" s="61"/>
      <c r="C848" s="61"/>
      <c r="E848" s="61"/>
      <c r="G848" s="61"/>
    </row>
    <row r="849" spans="1:7" ht="15.75" customHeight="1" x14ac:dyDescent="0.3">
      <c r="A849" s="61"/>
      <c r="B849" s="61"/>
      <c r="C849" s="61"/>
      <c r="E849" s="61"/>
      <c r="G849" s="61"/>
    </row>
    <row r="850" spans="1:7" ht="15.75" customHeight="1" x14ac:dyDescent="0.3">
      <c r="A850" s="61"/>
      <c r="B850" s="61"/>
      <c r="C850" s="61"/>
      <c r="E850" s="61"/>
      <c r="G850" s="61"/>
    </row>
    <row r="851" spans="1:7" ht="15.75" customHeight="1" x14ac:dyDescent="0.3">
      <c r="A851" s="61"/>
      <c r="B851" s="61"/>
      <c r="C851" s="61"/>
      <c r="E851" s="61"/>
      <c r="G851" s="61"/>
    </row>
    <row r="852" spans="1:7" ht="15.75" customHeight="1" x14ac:dyDescent="0.3">
      <c r="A852" s="61"/>
      <c r="B852" s="61"/>
      <c r="C852" s="61"/>
      <c r="E852" s="61"/>
      <c r="G852" s="61"/>
    </row>
    <row r="853" spans="1:7" ht="15.75" customHeight="1" x14ac:dyDescent="0.3">
      <c r="A853" s="61"/>
      <c r="B853" s="61"/>
      <c r="C853" s="61"/>
      <c r="E853" s="61"/>
      <c r="G853" s="61"/>
    </row>
    <row r="854" spans="1:7" ht="15.75" customHeight="1" x14ac:dyDescent="0.3">
      <c r="A854" s="61"/>
      <c r="B854" s="61"/>
      <c r="C854" s="61"/>
      <c r="E854" s="61"/>
      <c r="G854" s="61"/>
    </row>
    <row r="855" spans="1:7" ht="15.75" customHeight="1" x14ac:dyDescent="0.3">
      <c r="A855" s="61"/>
      <c r="B855" s="61"/>
      <c r="C855" s="61"/>
      <c r="E855" s="61"/>
      <c r="G855" s="61"/>
    </row>
    <row r="856" spans="1:7" ht="15.75" customHeight="1" x14ac:dyDescent="0.3">
      <c r="A856" s="61"/>
      <c r="B856" s="61"/>
      <c r="C856" s="61"/>
      <c r="E856" s="61"/>
      <c r="G856" s="61"/>
    </row>
    <row r="857" spans="1:7" ht="15.75" customHeight="1" x14ac:dyDescent="0.3">
      <c r="A857" s="61"/>
      <c r="B857" s="61"/>
      <c r="C857" s="61"/>
      <c r="E857" s="61"/>
      <c r="G857" s="61"/>
    </row>
    <row r="858" spans="1:7" ht="15.75" customHeight="1" x14ac:dyDescent="0.3">
      <c r="A858" s="61"/>
      <c r="B858" s="61"/>
      <c r="C858" s="61"/>
      <c r="E858" s="61"/>
      <c r="G858" s="61"/>
    </row>
    <row r="859" spans="1:7" ht="15.75" customHeight="1" x14ac:dyDescent="0.3">
      <c r="A859" s="61"/>
      <c r="B859" s="61"/>
      <c r="C859" s="61"/>
      <c r="E859" s="61"/>
      <c r="G859" s="61"/>
    </row>
    <row r="860" spans="1:7" ht="15.75" customHeight="1" x14ac:dyDescent="0.3">
      <c r="A860" s="61"/>
      <c r="B860" s="61"/>
      <c r="C860" s="61"/>
      <c r="E860" s="61"/>
      <c r="G860" s="61"/>
    </row>
    <row r="861" spans="1:7" ht="15.75" customHeight="1" x14ac:dyDescent="0.3">
      <c r="A861" s="61"/>
      <c r="B861" s="61"/>
      <c r="C861" s="61"/>
      <c r="E861" s="61"/>
      <c r="G861" s="61"/>
    </row>
    <row r="862" spans="1:7" ht="15.75" customHeight="1" x14ac:dyDescent="0.3">
      <c r="A862" s="61"/>
      <c r="B862" s="61"/>
      <c r="C862" s="61"/>
      <c r="E862" s="61"/>
      <c r="G862" s="61"/>
    </row>
    <row r="863" spans="1:7" ht="15.75" customHeight="1" x14ac:dyDescent="0.3">
      <c r="A863" s="61"/>
      <c r="B863" s="61"/>
      <c r="C863" s="61"/>
      <c r="E863" s="61"/>
      <c r="G863" s="61"/>
    </row>
    <row r="864" spans="1:7" ht="15.75" customHeight="1" x14ac:dyDescent="0.3">
      <c r="A864" s="61"/>
      <c r="B864" s="61"/>
      <c r="C864" s="61"/>
      <c r="E864" s="61"/>
      <c r="G864" s="61"/>
    </row>
    <row r="865" spans="1:7" ht="15.75" customHeight="1" x14ac:dyDescent="0.3">
      <c r="A865" s="61"/>
      <c r="B865" s="61"/>
      <c r="C865" s="61"/>
      <c r="E865" s="61"/>
      <c r="G865" s="61"/>
    </row>
    <row r="866" spans="1:7" ht="15.75" customHeight="1" x14ac:dyDescent="0.3">
      <c r="A866" s="61"/>
      <c r="B866" s="61"/>
      <c r="C866" s="61"/>
      <c r="E866" s="61"/>
      <c r="G866" s="61"/>
    </row>
    <row r="867" spans="1:7" ht="15.75" customHeight="1" x14ac:dyDescent="0.3">
      <c r="A867" s="61"/>
      <c r="B867" s="61"/>
      <c r="C867" s="61"/>
      <c r="E867" s="61"/>
      <c r="G867" s="61"/>
    </row>
    <row r="868" spans="1:7" ht="15.75" customHeight="1" x14ac:dyDescent="0.3">
      <c r="A868" s="61"/>
      <c r="B868" s="61"/>
      <c r="C868" s="61"/>
      <c r="E868" s="61"/>
      <c r="G868" s="61"/>
    </row>
    <row r="869" spans="1:7" ht="15.75" customHeight="1" x14ac:dyDescent="0.3">
      <c r="A869" s="61"/>
      <c r="B869" s="61"/>
      <c r="C869" s="61"/>
      <c r="E869" s="61"/>
      <c r="G869" s="61"/>
    </row>
    <row r="870" spans="1:7" ht="15.75" customHeight="1" x14ac:dyDescent="0.3">
      <c r="A870" s="61"/>
      <c r="B870" s="61"/>
      <c r="C870" s="61"/>
      <c r="E870" s="61"/>
      <c r="G870" s="61"/>
    </row>
    <row r="871" spans="1:7" ht="15.75" customHeight="1" x14ac:dyDescent="0.3">
      <c r="A871" s="61"/>
      <c r="B871" s="61"/>
      <c r="C871" s="61"/>
      <c r="E871" s="61"/>
      <c r="G871" s="61"/>
    </row>
    <row r="872" spans="1:7" ht="15.75" customHeight="1" x14ac:dyDescent="0.3">
      <c r="A872" s="61"/>
      <c r="B872" s="61"/>
      <c r="C872" s="61"/>
      <c r="E872" s="61"/>
      <c r="G872" s="61"/>
    </row>
    <row r="873" spans="1:7" ht="15.75" customHeight="1" x14ac:dyDescent="0.3">
      <c r="A873" s="61"/>
      <c r="B873" s="61"/>
      <c r="C873" s="61"/>
      <c r="E873" s="61"/>
      <c r="G873" s="61"/>
    </row>
    <row r="874" spans="1:7" ht="15.75" customHeight="1" x14ac:dyDescent="0.3">
      <c r="A874" s="61"/>
      <c r="B874" s="61"/>
      <c r="C874" s="61"/>
      <c r="E874" s="61"/>
      <c r="G874" s="61"/>
    </row>
    <row r="875" spans="1:7" ht="15.75" customHeight="1" x14ac:dyDescent="0.3">
      <c r="A875" s="61"/>
      <c r="B875" s="61"/>
      <c r="C875" s="61"/>
      <c r="E875" s="61"/>
      <c r="G875" s="61"/>
    </row>
    <row r="876" spans="1:7" ht="15.75" customHeight="1" x14ac:dyDescent="0.3">
      <c r="A876" s="61"/>
      <c r="B876" s="61"/>
      <c r="C876" s="61"/>
      <c r="E876" s="61"/>
      <c r="G876" s="61"/>
    </row>
    <row r="877" spans="1:7" ht="15.75" customHeight="1" x14ac:dyDescent="0.3">
      <c r="A877" s="61"/>
      <c r="B877" s="61"/>
      <c r="C877" s="61"/>
      <c r="E877" s="61"/>
      <c r="G877" s="61"/>
    </row>
    <row r="878" spans="1:7" ht="15.75" customHeight="1" x14ac:dyDescent="0.3">
      <c r="A878" s="61"/>
      <c r="B878" s="61"/>
      <c r="C878" s="61"/>
      <c r="E878" s="61"/>
      <c r="G878" s="61"/>
    </row>
    <row r="879" spans="1:7" ht="15.75" customHeight="1" x14ac:dyDescent="0.3">
      <c r="A879" s="61"/>
      <c r="B879" s="61"/>
      <c r="C879" s="61"/>
      <c r="E879" s="61"/>
      <c r="G879" s="61"/>
    </row>
    <row r="880" spans="1:7" ht="15.75" customHeight="1" x14ac:dyDescent="0.3">
      <c r="A880" s="61"/>
      <c r="B880" s="61"/>
      <c r="C880" s="61"/>
      <c r="E880" s="61"/>
      <c r="G880" s="61"/>
    </row>
    <row r="881" spans="1:7" ht="15.75" customHeight="1" x14ac:dyDescent="0.3">
      <c r="A881" s="61"/>
      <c r="B881" s="61"/>
      <c r="C881" s="61"/>
      <c r="E881" s="61"/>
      <c r="G881" s="61"/>
    </row>
    <row r="882" spans="1:7" ht="15.75" customHeight="1" x14ac:dyDescent="0.3">
      <c r="A882" s="61"/>
      <c r="B882" s="61"/>
      <c r="C882" s="61"/>
      <c r="E882" s="61"/>
      <c r="G882" s="61"/>
    </row>
    <row r="883" spans="1:7" ht="15.75" customHeight="1" x14ac:dyDescent="0.3">
      <c r="A883" s="61"/>
      <c r="B883" s="61"/>
      <c r="C883" s="61"/>
      <c r="E883" s="61"/>
      <c r="G883" s="61"/>
    </row>
    <row r="884" spans="1:7" ht="15.75" customHeight="1" x14ac:dyDescent="0.3">
      <c r="A884" s="61"/>
      <c r="B884" s="61"/>
      <c r="C884" s="61"/>
      <c r="E884" s="61"/>
      <c r="G884" s="61"/>
    </row>
    <row r="885" spans="1:7" ht="15.75" customHeight="1" x14ac:dyDescent="0.3">
      <c r="A885" s="61"/>
      <c r="B885" s="61"/>
      <c r="C885" s="61"/>
      <c r="E885" s="61"/>
      <c r="G885" s="61"/>
    </row>
    <row r="886" spans="1:7" ht="15.75" customHeight="1" x14ac:dyDescent="0.3">
      <c r="A886" s="61"/>
      <c r="B886" s="61"/>
      <c r="C886" s="61"/>
      <c r="E886" s="61"/>
      <c r="G886" s="61"/>
    </row>
    <row r="887" spans="1:7" ht="15.75" customHeight="1" x14ac:dyDescent="0.3">
      <c r="A887" s="61"/>
      <c r="B887" s="61"/>
      <c r="C887" s="61"/>
      <c r="E887" s="61"/>
      <c r="G887" s="61"/>
    </row>
    <row r="888" spans="1:7" ht="15.75" customHeight="1" x14ac:dyDescent="0.3">
      <c r="A888" s="61"/>
      <c r="B888" s="61"/>
      <c r="C888" s="61"/>
      <c r="E888" s="61"/>
      <c r="G888" s="61"/>
    </row>
    <row r="889" spans="1:7" ht="15.75" customHeight="1" x14ac:dyDescent="0.3">
      <c r="A889" s="61"/>
      <c r="B889" s="61"/>
      <c r="C889" s="61"/>
      <c r="E889" s="61"/>
      <c r="G889" s="61"/>
    </row>
    <row r="890" spans="1:7" ht="15.75" customHeight="1" x14ac:dyDescent="0.3">
      <c r="A890" s="61"/>
      <c r="B890" s="61"/>
      <c r="C890" s="61"/>
      <c r="E890" s="61"/>
      <c r="G890" s="61"/>
    </row>
    <row r="891" spans="1:7" ht="15.75" customHeight="1" x14ac:dyDescent="0.3">
      <c r="A891" s="61"/>
      <c r="B891" s="61"/>
      <c r="C891" s="61"/>
      <c r="E891" s="61"/>
      <c r="G891" s="61"/>
    </row>
    <row r="892" spans="1:7" ht="15.75" customHeight="1" x14ac:dyDescent="0.3">
      <c r="A892" s="61"/>
      <c r="B892" s="61"/>
      <c r="C892" s="61"/>
      <c r="E892" s="61"/>
      <c r="G892" s="61"/>
    </row>
    <row r="893" spans="1:7" ht="15.75" customHeight="1" x14ac:dyDescent="0.3">
      <c r="A893" s="61"/>
      <c r="B893" s="61"/>
      <c r="C893" s="61"/>
      <c r="E893" s="61"/>
      <c r="G893" s="61"/>
    </row>
    <row r="894" spans="1:7" ht="15.75" customHeight="1" x14ac:dyDescent="0.3">
      <c r="A894" s="61"/>
      <c r="B894" s="61"/>
      <c r="C894" s="61"/>
      <c r="E894" s="61"/>
      <c r="G894" s="61"/>
    </row>
    <row r="895" spans="1:7" ht="15.75" customHeight="1" x14ac:dyDescent="0.3">
      <c r="A895" s="61"/>
      <c r="B895" s="61"/>
      <c r="C895" s="61"/>
      <c r="E895" s="61"/>
      <c r="G895" s="61"/>
    </row>
    <row r="896" spans="1:7" ht="15.75" customHeight="1" x14ac:dyDescent="0.3">
      <c r="A896" s="61"/>
      <c r="B896" s="61"/>
      <c r="C896" s="61"/>
      <c r="E896" s="61"/>
      <c r="G896" s="61"/>
    </row>
    <row r="897" spans="1:7" ht="15.75" customHeight="1" x14ac:dyDescent="0.3">
      <c r="A897" s="61"/>
      <c r="B897" s="61"/>
      <c r="C897" s="61"/>
      <c r="E897" s="61"/>
      <c r="G897" s="61"/>
    </row>
    <row r="898" spans="1:7" ht="15.75" customHeight="1" x14ac:dyDescent="0.3">
      <c r="A898" s="61"/>
      <c r="B898" s="61"/>
      <c r="C898" s="61"/>
      <c r="E898" s="61"/>
      <c r="G898" s="61"/>
    </row>
    <row r="899" spans="1:7" ht="15.75" customHeight="1" x14ac:dyDescent="0.3">
      <c r="A899" s="61"/>
      <c r="B899" s="61"/>
      <c r="C899" s="61"/>
      <c r="E899" s="61"/>
      <c r="G899" s="61"/>
    </row>
    <row r="900" spans="1:7" ht="15.75" customHeight="1" x14ac:dyDescent="0.3">
      <c r="A900" s="61"/>
      <c r="B900" s="61"/>
      <c r="C900" s="61"/>
      <c r="E900" s="61"/>
      <c r="G900" s="61"/>
    </row>
    <row r="901" spans="1:7" ht="15.75" customHeight="1" x14ac:dyDescent="0.3">
      <c r="A901" s="61"/>
      <c r="B901" s="61"/>
      <c r="C901" s="61"/>
      <c r="E901" s="61"/>
      <c r="G901" s="61"/>
    </row>
    <row r="902" spans="1:7" ht="15.75" customHeight="1" x14ac:dyDescent="0.3">
      <c r="A902" s="61"/>
      <c r="B902" s="61"/>
      <c r="C902" s="61"/>
      <c r="E902" s="61"/>
      <c r="G902" s="61"/>
    </row>
    <row r="903" spans="1:7" ht="15.75" customHeight="1" x14ac:dyDescent="0.3">
      <c r="A903" s="61"/>
      <c r="B903" s="61"/>
      <c r="C903" s="61"/>
      <c r="E903" s="61"/>
      <c r="G903" s="61"/>
    </row>
    <row r="904" spans="1:7" ht="15.75" customHeight="1" x14ac:dyDescent="0.3">
      <c r="A904" s="61"/>
      <c r="B904" s="61"/>
      <c r="C904" s="61"/>
      <c r="E904" s="61"/>
      <c r="G904" s="61"/>
    </row>
    <row r="905" spans="1:7" ht="15.75" customHeight="1" x14ac:dyDescent="0.3">
      <c r="A905" s="61"/>
      <c r="B905" s="61"/>
      <c r="C905" s="61"/>
      <c r="E905" s="61"/>
      <c r="G905" s="61"/>
    </row>
    <row r="906" spans="1:7" ht="15.75" customHeight="1" x14ac:dyDescent="0.3">
      <c r="A906" s="61"/>
      <c r="B906" s="61"/>
      <c r="C906" s="61"/>
      <c r="E906" s="61"/>
      <c r="G906" s="61"/>
    </row>
    <row r="907" spans="1:7" ht="15.75" customHeight="1" x14ac:dyDescent="0.3">
      <c r="A907" s="61"/>
      <c r="B907" s="61"/>
      <c r="C907" s="61"/>
      <c r="E907" s="61"/>
      <c r="G907" s="61"/>
    </row>
    <row r="908" spans="1:7" ht="15.75" customHeight="1" x14ac:dyDescent="0.3">
      <c r="A908" s="61"/>
      <c r="B908" s="61"/>
      <c r="C908" s="61"/>
      <c r="E908" s="61"/>
      <c r="G908" s="61"/>
    </row>
    <row r="909" spans="1:7" ht="15.75" customHeight="1" x14ac:dyDescent="0.3">
      <c r="A909" s="61"/>
      <c r="B909" s="61"/>
      <c r="C909" s="61"/>
      <c r="E909" s="61"/>
      <c r="G909" s="61"/>
    </row>
    <row r="910" spans="1:7" ht="15.75" customHeight="1" x14ac:dyDescent="0.3">
      <c r="A910" s="61"/>
      <c r="B910" s="61"/>
      <c r="C910" s="61"/>
      <c r="E910" s="61"/>
      <c r="G910" s="61"/>
    </row>
    <row r="911" spans="1:7" ht="15.75" customHeight="1" x14ac:dyDescent="0.3">
      <c r="A911" s="61"/>
      <c r="B911" s="61"/>
      <c r="C911" s="61"/>
      <c r="E911" s="61"/>
      <c r="G911" s="61"/>
    </row>
    <row r="912" spans="1:7" ht="15.75" customHeight="1" x14ac:dyDescent="0.3">
      <c r="A912" s="61"/>
      <c r="B912" s="61"/>
      <c r="C912" s="61"/>
      <c r="E912" s="61"/>
      <c r="G912" s="61"/>
    </row>
    <row r="913" spans="1:7" ht="15.75" customHeight="1" x14ac:dyDescent="0.3">
      <c r="A913" s="61"/>
      <c r="B913" s="61"/>
      <c r="C913" s="61"/>
      <c r="E913" s="61"/>
      <c r="G913" s="61"/>
    </row>
    <row r="914" spans="1:7" ht="15.75" customHeight="1" x14ac:dyDescent="0.3">
      <c r="A914" s="61"/>
      <c r="B914" s="61"/>
      <c r="C914" s="61"/>
      <c r="E914" s="61"/>
      <c r="G914" s="61"/>
    </row>
    <row r="915" spans="1:7" ht="15.75" customHeight="1" x14ac:dyDescent="0.3">
      <c r="A915" s="61"/>
      <c r="B915" s="61"/>
      <c r="C915" s="61"/>
      <c r="E915" s="61"/>
      <c r="G915" s="61"/>
    </row>
    <row r="916" spans="1:7" ht="15.75" customHeight="1" x14ac:dyDescent="0.3">
      <c r="A916" s="61"/>
      <c r="B916" s="61"/>
      <c r="C916" s="61"/>
      <c r="E916" s="61"/>
      <c r="G916" s="61"/>
    </row>
    <row r="917" spans="1:7" ht="15.75" customHeight="1" x14ac:dyDescent="0.3">
      <c r="A917" s="61"/>
      <c r="B917" s="61"/>
      <c r="C917" s="61"/>
      <c r="E917" s="61"/>
      <c r="G917" s="61"/>
    </row>
    <row r="918" spans="1:7" ht="15.75" customHeight="1" x14ac:dyDescent="0.3">
      <c r="A918" s="61"/>
      <c r="B918" s="61"/>
      <c r="C918" s="61"/>
      <c r="E918" s="61"/>
      <c r="G918" s="61"/>
    </row>
    <row r="919" spans="1:7" ht="15.75" customHeight="1" x14ac:dyDescent="0.3">
      <c r="A919" s="61"/>
      <c r="B919" s="61"/>
      <c r="C919" s="61"/>
      <c r="E919" s="61"/>
      <c r="G919" s="61"/>
    </row>
    <row r="920" spans="1:7" ht="15.75" customHeight="1" x14ac:dyDescent="0.3">
      <c r="A920" s="61"/>
      <c r="B920" s="61"/>
      <c r="C920" s="61"/>
      <c r="E920" s="61"/>
      <c r="G920" s="61"/>
    </row>
    <row r="921" spans="1:7" ht="15.75" customHeight="1" x14ac:dyDescent="0.3">
      <c r="A921" s="61"/>
      <c r="B921" s="61"/>
      <c r="C921" s="61"/>
      <c r="E921" s="61"/>
      <c r="G921" s="61"/>
    </row>
    <row r="922" spans="1:7" ht="15.75" customHeight="1" x14ac:dyDescent="0.3">
      <c r="A922" s="61"/>
      <c r="B922" s="61"/>
      <c r="C922" s="61"/>
      <c r="E922" s="61"/>
      <c r="G922" s="61"/>
    </row>
    <row r="923" spans="1:7" ht="15.75" customHeight="1" x14ac:dyDescent="0.3">
      <c r="A923" s="61"/>
      <c r="B923" s="61"/>
      <c r="C923" s="61"/>
      <c r="E923" s="61"/>
      <c r="G923" s="61"/>
    </row>
    <row r="924" spans="1:7" ht="15.75" customHeight="1" x14ac:dyDescent="0.3">
      <c r="A924" s="61"/>
      <c r="B924" s="61"/>
      <c r="C924" s="61"/>
      <c r="E924" s="61"/>
      <c r="G924" s="61"/>
    </row>
    <row r="925" spans="1:7" ht="15.75" customHeight="1" x14ac:dyDescent="0.3">
      <c r="A925" s="61"/>
      <c r="B925" s="61"/>
      <c r="C925" s="61"/>
      <c r="E925" s="61"/>
      <c r="G925" s="61"/>
    </row>
    <row r="926" spans="1:7" ht="15.75" customHeight="1" x14ac:dyDescent="0.3">
      <c r="A926" s="61"/>
      <c r="B926" s="61"/>
      <c r="C926" s="61"/>
      <c r="E926" s="61"/>
      <c r="G926" s="61"/>
    </row>
    <row r="927" spans="1:7" ht="15.75" customHeight="1" x14ac:dyDescent="0.3">
      <c r="A927" s="61"/>
      <c r="B927" s="61"/>
      <c r="C927" s="61"/>
      <c r="E927" s="61"/>
      <c r="G927" s="61"/>
    </row>
    <row r="928" spans="1:7" ht="15.75" customHeight="1" x14ac:dyDescent="0.3">
      <c r="A928" s="61"/>
      <c r="B928" s="61"/>
      <c r="C928" s="61"/>
      <c r="E928" s="61"/>
      <c r="G928" s="61"/>
    </row>
    <row r="929" spans="1:7" ht="15.75" customHeight="1" x14ac:dyDescent="0.3">
      <c r="A929" s="61"/>
      <c r="B929" s="61"/>
      <c r="C929" s="61"/>
      <c r="E929" s="61"/>
      <c r="G929" s="61"/>
    </row>
    <row r="930" spans="1:7" ht="15.75" customHeight="1" x14ac:dyDescent="0.3">
      <c r="A930" s="61"/>
      <c r="B930" s="61"/>
      <c r="C930" s="61"/>
      <c r="E930" s="61"/>
      <c r="G930" s="61"/>
    </row>
    <row r="931" spans="1:7" ht="15.75" customHeight="1" x14ac:dyDescent="0.3">
      <c r="A931" s="61"/>
      <c r="B931" s="61"/>
      <c r="C931" s="61"/>
      <c r="E931" s="61"/>
      <c r="G931" s="61"/>
    </row>
    <row r="932" spans="1:7" ht="15.75" customHeight="1" x14ac:dyDescent="0.3">
      <c r="A932" s="61"/>
      <c r="B932" s="61"/>
      <c r="C932" s="61"/>
      <c r="E932" s="61"/>
      <c r="G932" s="61"/>
    </row>
    <row r="933" spans="1:7" ht="15.75" customHeight="1" x14ac:dyDescent="0.3">
      <c r="A933" s="61"/>
      <c r="B933" s="61"/>
      <c r="C933" s="61"/>
      <c r="E933" s="61"/>
      <c r="G933" s="61"/>
    </row>
    <row r="934" spans="1:7" ht="15.75" customHeight="1" x14ac:dyDescent="0.3">
      <c r="A934" s="61"/>
      <c r="B934" s="61"/>
      <c r="C934" s="61"/>
      <c r="E934" s="61"/>
      <c r="G934" s="61"/>
    </row>
    <row r="935" spans="1:7" ht="15.75" customHeight="1" x14ac:dyDescent="0.3">
      <c r="A935" s="61"/>
      <c r="B935" s="61"/>
      <c r="C935" s="61"/>
      <c r="E935" s="61"/>
      <c r="G935" s="61"/>
    </row>
    <row r="936" spans="1:7" ht="15.75" customHeight="1" x14ac:dyDescent="0.3">
      <c r="A936" s="61"/>
      <c r="B936" s="61"/>
      <c r="C936" s="61"/>
      <c r="E936" s="61"/>
      <c r="G936" s="61"/>
    </row>
    <row r="937" spans="1:7" ht="15.75" customHeight="1" x14ac:dyDescent="0.3">
      <c r="A937" s="61"/>
      <c r="B937" s="61"/>
      <c r="C937" s="61"/>
      <c r="E937" s="61"/>
      <c r="G937" s="61"/>
    </row>
    <row r="938" spans="1:7" ht="15.75" customHeight="1" x14ac:dyDescent="0.3">
      <c r="A938" s="61"/>
      <c r="B938" s="61"/>
      <c r="C938" s="61"/>
      <c r="E938" s="61"/>
      <c r="G938" s="61"/>
    </row>
    <row r="939" spans="1:7" ht="15.75" customHeight="1" x14ac:dyDescent="0.3">
      <c r="A939" s="61"/>
      <c r="B939" s="61"/>
      <c r="C939" s="61"/>
      <c r="E939" s="61"/>
      <c r="G939" s="61"/>
    </row>
    <row r="940" spans="1:7" ht="15.75" customHeight="1" x14ac:dyDescent="0.3">
      <c r="A940" s="61"/>
      <c r="B940" s="61"/>
      <c r="C940" s="61"/>
      <c r="E940" s="61"/>
      <c r="G940" s="61"/>
    </row>
    <row r="941" spans="1:7" ht="15.75" customHeight="1" x14ac:dyDescent="0.3">
      <c r="A941" s="61"/>
      <c r="B941" s="61"/>
      <c r="C941" s="61"/>
      <c r="E941" s="61"/>
      <c r="G941" s="61"/>
    </row>
    <row r="942" spans="1:7" ht="15.75" customHeight="1" x14ac:dyDescent="0.3">
      <c r="A942" s="61"/>
      <c r="B942" s="61"/>
      <c r="C942" s="61"/>
      <c r="E942" s="61"/>
      <c r="G942" s="61"/>
    </row>
    <row r="943" spans="1:7" ht="15.75" customHeight="1" x14ac:dyDescent="0.3">
      <c r="A943" s="61"/>
      <c r="B943" s="61"/>
      <c r="C943" s="61"/>
      <c r="E943" s="61"/>
      <c r="G943" s="61"/>
    </row>
    <row r="944" spans="1:7" ht="15.75" customHeight="1" x14ac:dyDescent="0.3">
      <c r="A944" s="61"/>
      <c r="B944" s="61"/>
      <c r="C944" s="61"/>
      <c r="E944" s="61"/>
      <c r="G944" s="61"/>
    </row>
    <row r="945" spans="1:7" ht="15.75" customHeight="1" x14ac:dyDescent="0.3">
      <c r="A945" s="61"/>
      <c r="B945" s="61"/>
      <c r="C945" s="61"/>
      <c r="E945" s="61"/>
      <c r="G945" s="61"/>
    </row>
    <row r="946" spans="1:7" ht="15.75" customHeight="1" x14ac:dyDescent="0.3">
      <c r="A946" s="61"/>
      <c r="B946" s="61"/>
      <c r="C946" s="61"/>
      <c r="E946" s="61"/>
      <c r="G946" s="61"/>
    </row>
    <row r="947" spans="1:7" ht="15.75" customHeight="1" x14ac:dyDescent="0.3">
      <c r="A947" s="61"/>
      <c r="B947" s="61"/>
      <c r="C947" s="61"/>
      <c r="E947" s="61"/>
      <c r="G947" s="61"/>
    </row>
    <row r="948" spans="1:7" ht="15.75" customHeight="1" x14ac:dyDescent="0.3">
      <c r="A948" s="61"/>
      <c r="B948" s="61"/>
      <c r="C948" s="61"/>
      <c r="E948" s="61"/>
      <c r="G948" s="61"/>
    </row>
    <row r="949" spans="1:7" ht="15.75" customHeight="1" x14ac:dyDescent="0.3">
      <c r="A949" s="61"/>
      <c r="B949" s="61"/>
      <c r="C949" s="61"/>
      <c r="E949" s="61"/>
      <c r="G949" s="61"/>
    </row>
    <row r="950" spans="1:7" ht="15.75" customHeight="1" x14ac:dyDescent="0.3">
      <c r="A950" s="61"/>
      <c r="B950" s="61"/>
      <c r="C950" s="61"/>
      <c r="E950" s="61"/>
      <c r="G950" s="61"/>
    </row>
    <row r="951" spans="1:7" ht="15.75" customHeight="1" x14ac:dyDescent="0.3">
      <c r="A951" s="61"/>
      <c r="B951" s="61"/>
      <c r="C951" s="61"/>
      <c r="E951" s="61"/>
      <c r="G951" s="61"/>
    </row>
    <row r="952" spans="1:7" ht="15.75" customHeight="1" x14ac:dyDescent="0.3">
      <c r="A952" s="61"/>
      <c r="B952" s="61"/>
      <c r="C952" s="61"/>
      <c r="E952" s="61"/>
      <c r="G952" s="61"/>
    </row>
    <row r="953" spans="1:7" ht="15.75" customHeight="1" x14ac:dyDescent="0.3">
      <c r="A953" s="61"/>
      <c r="B953" s="61"/>
      <c r="C953" s="61"/>
      <c r="E953" s="61"/>
      <c r="G953" s="61"/>
    </row>
    <row r="954" spans="1:7" ht="15.75" customHeight="1" x14ac:dyDescent="0.3">
      <c r="A954" s="61"/>
      <c r="B954" s="61"/>
      <c r="C954" s="61"/>
      <c r="E954" s="61"/>
      <c r="G954" s="61"/>
    </row>
    <row r="955" spans="1:7" ht="15.75" customHeight="1" x14ac:dyDescent="0.3">
      <c r="A955" s="61"/>
      <c r="B955" s="61"/>
      <c r="C955" s="61"/>
      <c r="E955" s="61"/>
      <c r="G955" s="61"/>
    </row>
    <row r="956" spans="1:7" ht="15.75" customHeight="1" x14ac:dyDescent="0.3">
      <c r="A956" s="61"/>
      <c r="B956" s="61"/>
      <c r="C956" s="61"/>
      <c r="E956" s="61"/>
      <c r="G956" s="61"/>
    </row>
    <row r="957" spans="1:7" ht="15.75" customHeight="1" x14ac:dyDescent="0.3">
      <c r="A957" s="61"/>
      <c r="B957" s="61"/>
      <c r="C957" s="61"/>
      <c r="E957" s="61"/>
      <c r="G957" s="61"/>
    </row>
    <row r="958" spans="1:7" ht="15.75" customHeight="1" x14ac:dyDescent="0.3">
      <c r="A958" s="61"/>
      <c r="B958" s="61"/>
      <c r="C958" s="61"/>
      <c r="E958" s="61"/>
      <c r="G958" s="61"/>
    </row>
    <row r="959" spans="1:7" ht="15.75" customHeight="1" x14ac:dyDescent="0.3">
      <c r="A959" s="61"/>
      <c r="B959" s="61"/>
      <c r="C959" s="61"/>
      <c r="E959" s="61"/>
      <c r="G959" s="61"/>
    </row>
    <row r="960" spans="1:7" ht="15.75" customHeight="1" x14ac:dyDescent="0.3">
      <c r="A960" s="61"/>
      <c r="B960" s="61"/>
      <c r="C960" s="61"/>
      <c r="E960" s="61"/>
      <c r="G960" s="61"/>
    </row>
    <row r="961" spans="1:7" ht="15.75" customHeight="1" x14ac:dyDescent="0.3">
      <c r="A961" s="61"/>
      <c r="B961" s="61"/>
      <c r="C961" s="61"/>
      <c r="E961" s="61"/>
      <c r="G961" s="61"/>
    </row>
    <row r="962" spans="1:7" ht="15.75" customHeight="1" x14ac:dyDescent="0.3">
      <c r="A962" s="61"/>
      <c r="B962" s="61"/>
      <c r="C962" s="61"/>
      <c r="E962" s="61"/>
      <c r="G962" s="61"/>
    </row>
    <row r="963" spans="1:7" ht="15.75" customHeight="1" x14ac:dyDescent="0.3">
      <c r="A963" s="61"/>
      <c r="B963" s="61"/>
      <c r="C963" s="61"/>
      <c r="E963" s="61"/>
      <c r="G963" s="61"/>
    </row>
    <row r="964" spans="1:7" ht="15.75" customHeight="1" x14ac:dyDescent="0.3">
      <c r="A964" s="61"/>
      <c r="B964" s="61"/>
      <c r="C964" s="61"/>
      <c r="E964" s="61"/>
      <c r="G964" s="61"/>
    </row>
    <row r="965" spans="1:7" ht="15.75" customHeight="1" x14ac:dyDescent="0.3">
      <c r="A965" s="61"/>
      <c r="B965" s="61"/>
      <c r="C965" s="61"/>
      <c r="E965" s="61"/>
      <c r="G965" s="61"/>
    </row>
    <row r="966" spans="1:7" ht="15.75" customHeight="1" x14ac:dyDescent="0.3">
      <c r="A966" s="61"/>
      <c r="B966" s="61"/>
      <c r="C966" s="61"/>
      <c r="E966" s="61"/>
      <c r="G966" s="61"/>
    </row>
    <row r="967" spans="1:7" ht="15.75" customHeight="1" x14ac:dyDescent="0.3">
      <c r="A967" s="61"/>
      <c r="B967" s="61"/>
      <c r="C967" s="61"/>
      <c r="E967" s="61"/>
      <c r="G967" s="61"/>
    </row>
    <row r="968" spans="1:7" ht="15.75" customHeight="1" x14ac:dyDescent="0.3">
      <c r="A968" s="61"/>
      <c r="B968" s="61"/>
      <c r="C968" s="61"/>
      <c r="E968" s="61"/>
      <c r="G968" s="61"/>
    </row>
    <row r="969" spans="1:7" ht="15.75" customHeight="1" x14ac:dyDescent="0.3">
      <c r="A969" s="61"/>
      <c r="B969" s="61"/>
      <c r="C969" s="61"/>
      <c r="E969" s="61"/>
      <c r="G969" s="61"/>
    </row>
    <row r="970" spans="1:7" ht="15.75" customHeight="1" x14ac:dyDescent="0.3">
      <c r="A970" s="61"/>
      <c r="B970" s="61"/>
      <c r="C970" s="61"/>
      <c r="E970" s="61"/>
      <c r="G970" s="61"/>
    </row>
    <row r="971" spans="1:7" ht="15.75" customHeight="1" x14ac:dyDescent="0.3">
      <c r="A971" s="61"/>
      <c r="B971" s="61"/>
      <c r="C971" s="61"/>
      <c r="E971" s="61"/>
      <c r="G971" s="61"/>
    </row>
    <row r="972" spans="1:7" ht="15.75" customHeight="1" x14ac:dyDescent="0.3">
      <c r="A972" s="61"/>
      <c r="B972" s="61"/>
      <c r="C972" s="61"/>
      <c r="E972" s="61"/>
      <c r="G972" s="61"/>
    </row>
    <row r="973" spans="1:7" ht="15.75" customHeight="1" x14ac:dyDescent="0.3">
      <c r="A973" s="61"/>
      <c r="B973" s="61"/>
      <c r="C973" s="61"/>
      <c r="E973" s="61"/>
      <c r="G973" s="61"/>
    </row>
    <row r="974" spans="1:7" ht="15.75" customHeight="1" x14ac:dyDescent="0.3">
      <c r="A974" s="61"/>
      <c r="B974" s="61"/>
      <c r="C974" s="61"/>
      <c r="E974" s="61"/>
      <c r="G974" s="61"/>
    </row>
    <row r="975" spans="1:7" ht="15.75" customHeight="1" x14ac:dyDescent="0.3">
      <c r="A975" s="61"/>
      <c r="B975" s="61"/>
      <c r="C975" s="61"/>
      <c r="E975" s="61"/>
      <c r="G975" s="61"/>
    </row>
    <row r="976" spans="1:7" ht="15.75" customHeight="1" x14ac:dyDescent="0.3">
      <c r="A976" s="61"/>
      <c r="B976" s="61"/>
      <c r="C976" s="61"/>
      <c r="E976" s="61"/>
      <c r="G976" s="61"/>
    </row>
    <row r="977" spans="1:7" ht="15.75" customHeight="1" x14ac:dyDescent="0.3">
      <c r="A977" s="61"/>
      <c r="B977" s="61"/>
      <c r="C977" s="61"/>
      <c r="E977" s="61"/>
      <c r="G977" s="61"/>
    </row>
    <row r="978" spans="1:7" ht="15.75" customHeight="1" x14ac:dyDescent="0.3">
      <c r="A978" s="61"/>
      <c r="B978" s="61"/>
      <c r="C978" s="61"/>
      <c r="E978" s="61"/>
      <c r="G978" s="61"/>
    </row>
    <row r="979" spans="1:7" ht="15.75" customHeight="1" x14ac:dyDescent="0.3">
      <c r="A979" s="61"/>
      <c r="B979" s="61"/>
      <c r="C979" s="61"/>
      <c r="E979" s="61"/>
      <c r="G979" s="61"/>
    </row>
    <row r="980" spans="1:7" ht="15.75" customHeight="1" x14ac:dyDescent="0.3">
      <c r="A980" s="61"/>
      <c r="B980" s="61"/>
      <c r="C980" s="61"/>
      <c r="E980" s="61"/>
      <c r="G980" s="61"/>
    </row>
    <row r="981" spans="1:7" ht="15.75" customHeight="1" x14ac:dyDescent="0.3">
      <c r="A981" s="61"/>
      <c r="B981" s="61"/>
      <c r="C981" s="61"/>
      <c r="E981" s="61"/>
      <c r="G981" s="61"/>
    </row>
    <row r="982" spans="1:7" ht="15.75" customHeight="1" x14ac:dyDescent="0.3">
      <c r="A982" s="61"/>
      <c r="B982" s="61"/>
      <c r="C982" s="61"/>
      <c r="E982" s="61"/>
      <c r="G982" s="61"/>
    </row>
    <row r="983" spans="1:7" ht="15.75" customHeight="1" x14ac:dyDescent="0.3">
      <c r="A983" s="61"/>
      <c r="B983" s="61"/>
      <c r="C983" s="61"/>
      <c r="E983" s="61"/>
      <c r="G983" s="61"/>
    </row>
    <row r="984" spans="1:7" ht="15.75" customHeight="1" x14ac:dyDescent="0.3">
      <c r="A984" s="61"/>
      <c r="B984" s="61"/>
      <c r="C984" s="61"/>
      <c r="E984" s="61"/>
      <c r="G984" s="61"/>
    </row>
    <row r="985" spans="1:7" ht="15.75" customHeight="1" x14ac:dyDescent="0.3">
      <c r="A985" s="61"/>
      <c r="B985" s="61"/>
      <c r="C985" s="61"/>
      <c r="E985" s="61"/>
      <c r="G985" s="61"/>
    </row>
    <row r="986" spans="1:7" ht="15.75" customHeight="1" x14ac:dyDescent="0.3">
      <c r="A986" s="61"/>
      <c r="B986" s="61"/>
      <c r="C986" s="61"/>
      <c r="E986" s="61"/>
      <c r="G986" s="61"/>
    </row>
    <row r="987" spans="1:7" ht="15.75" customHeight="1" x14ac:dyDescent="0.3">
      <c r="A987" s="61"/>
      <c r="B987" s="61"/>
      <c r="C987" s="61"/>
      <c r="E987" s="61"/>
      <c r="G987" s="61"/>
    </row>
    <row r="988" spans="1:7" ht="15.75" customHeight="1" x14ac:dyDescent="0.3">
      <c r="A988" s="61"/>
      <c r="B988" s="61"/>
      <c r="C988" s="61"/>
      <c r="E988" s="61"/>
      <c r="G988" s="61"/>
    </row>
    <row r="989" spans="1:7" ht="15.75" customHeight="1" x14ac:dyDescent="0.3">
      <c r="A989" s="61"/>
      <c r="B989" s="61"/>
      <c r="C989" s="61"/>
      <c r="E989" s="61"/>
      <c r="G989" s="61"/>
    </row>
    <row r="990" spans="1:7" ht="15.75" customHeight="1" x14ac:dyDescent="0.3">
      <c r="A990" s="61"/>
      <c r="B990" s="61"/>
      <c r="C990" s="61"/>
      <c r="E990" s="61"/>
      <c r="G990" s="61"/>
    </row>
    <row r="991" spans="1:7" ht="15.75" customHeight="1" x14ac:dyDescent="0.3">
      <c r="A991" s="61"/>
      <c r="B991" s="61"/>
      <c r="C991" s="61"/>
      <c r="E991" s="61"/>
      <c r="G991" s="61"/>
    </row>
    <row r="992" spans="1:7" ht="15.75" customHeight="1" x14ac:dyDescent="0.3">
      <c r="A992" s="61"/>
      <c r="B992" s="61"/>
      <c r="C992" s="61"/>
      <c r="E992" s="61"/>
      <c r="G992" s="61"/>
    </row>
    <row r="993" spans="1:7" ht="15.75" customHeight="1" x14ac:dyDescent="0.3">
      <c r="A993" s="61"/>
      <c r="B993" s="61"/>
      <c r="C993" s="61"/>
      <c r="E993" s="61"/>
      <c r="G993" s="61"/>
    </row>
    <row r="994" spans="1:7" ht="15.75" customHeight="1" x14ac:dyDescent="0.3">
      <c r="A994" s="61"/>
      <c r="B994" s="61"/>
      <c r="C994" s="61"/>
      <c r="E994" s="61"/>
      <c r="G994" s="61"/>
    </row>
    <row r="995" spans="1:7" ht="15.75" customHeight="1" x14ac:dyDescent="0.3">
      <c r="A995" s="61"/>
      <c r="B995" s="61"/>
      <c r="C995" s="61"/>
      <c r="E995" s="61"/>
      <c r="G995" s="61"/>
    </row>
    <row r="996" spans="1:7" ht="15.75" customHeight="1" x14ac:dyDescent="0.3">
      <c r="A996" s="61"/>
      <c r="B996" s="61"/>
      <c r="C996" s="61"/>
      <c r="E996" s="61"/>
      <c r="G996" s="61"/>
    </row>
    <row r="997" spans="1:7" ht="15.75" customHeight="1" x14ac:dyDescent="0.3">
      <c r="A997" s="61"/>
      <c r="B997" s="61"/>
      <c r="C997" s="61"/>
      <c r="E997" s="61"/>
      <c r="G997" s="61"/>
    </row>
    <row r="998" spans="1:7" ht="15.75" customHeight="1" x14ac:dyDescent="0.3">
      <c r="A998" s="61"/>
      <c r="B998" s="61"/>
      <c r="C998" s="61"/>
      <c r="E998" s="61"/>
      <c r="G998" s="61"/>
    </row>
    <row r="999" spans="1:7" ht="15.75" customHeight="1" x14ac:dyDescent="0.3">
      <c r="A999" s="61"/>
      <c r="B999" s="61"/>
      <c r="C999" s="61"/>
      <c r="E999" s="61"/>
      <c r="G999" s="61"/>
    </row>
    <row r="1000" spans="1:7" ht="15.75" customHeight="1" x14ac:dyDescent="0.3">
      <c r="A1000" s="61"/>
      <c r="B1000" s="61"/>
      <c r="C1000" s="61"/>
      <c r="E1000" s="61"/>
      <c r="G1000" s="61"/>
    </row>
  </sheetData>
  <conditionalFormatting sqref="D3:D5">
    <cfRule type="containsText" dxfId="11" priority="1" operator="containsText" text="Low">
      <formula>NOT(ISERROR(SEARCH(("Low"),(D3))))</formula>
    </cfRule>
    <cfRule type="containsText" dxfId="10" priority="2" operator="containsText" text="Medium">
      <formula>NOT(ISERROR(SEARCH(("Medium"),(D3))))</formula>
    </cfRule>
    <cfRule type="containsText" dxfId="9" priority="3" operator="containsText" text="High">
      <formula>NOT(ISERROR(SEARCH(("High"),(D3))))</formula>
    </cfRule>
  </conditionalFormatting>
  <conditionalFormatting sqref="F3:F11">
    <cfRule type="containsText" dxfId="8" priority="4" operator="containsText" text="Approved">
      <formula>NOT(ISERROR(SEARCH(("Approved"),(F3))))</formula>
    </cfRule>
    <cfRule type="containsText" dxfId="7" priority="5" operator="containsText" text="Needs Review">
      <formula>NOT(ISERROR(SEARCH(("Needs Review"),(F3))))</formula>
    </cfRule>
    <cfRule type="containsText" dxfId="6" priority="6" operator="containsText" text="Not Started">
      <formula>NOT(ISERROR(SEARCH(("Not Started"),(F3))))</formula>
    </cfRule>
    <cfRule type="containsText" dxfId="5" priority="7" operator="containsText" text="On Hold">
      <formula>NOT(ISERROR(SEARCH(("On Hold"),(F3))))</formula>
    </cfRule>
    <cfRule type="containsText" dxfId="4" priority="8" operator="containsText" text="Overdue">
      <formula>NOT(ISERROR(SEARCH(("Overdue"),(F3))))</formula>
    </cfRule>
    <cfRule type="containsText" dxfId="3" priority="9" operator="containsText" text="Complete">
      <formula>NOT(ISERROR(SEARCH(("Complete"),(F3))))</formula>
    </cfRule>
    <cfRule type="containsText" dxfId="2" priority="10" operator="containsText" text="In Progress">
      <formula>NOT(ISERROR(SEARCH(("In Progress"),(F3))))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Presupuesto del proyecto</vt:lpstr>
      <vt:lpstr>listas desplegables</vt:lpstr>
      <vt:lpstr>Status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Daniela Ruiz Madrigal</dc:creator>
  <cp:lastModifiedBy>Karen Daniela Ruiz Madrigal</cp:lastModifiedBy>
  <dcterms:created xsi:type="dcterms:W3CDTF">2026-03-16T17:02:38Z</dcterms:created>
  <dcterms:modified xsi:type="dcterms:W3CDTF">2026-06-05T23:09:03Z</dcterms:modified>
</cp:coreProperties>
</file>